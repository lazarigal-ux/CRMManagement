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2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https://telefireltd-my.sharepoint.com/personal/reuven_lcontrol_com/Documents/reuven shuster/הצעות מחיר/___מעקב הזדמנויות ומכירות/"/>
    </mc:Choice>
  </mc:AlternateContent>
  <xr:revisionPtr revIDLastSave="3464" documentId="13_ncr:1_{FBB70AD7-4088-4245-B2D9-420B87563927}" xr6:coauthVersionLast="47" xr6:coauthVersionMax="47" xr10:uidLastSave="{F5E9C0F3-12FB-4CF9-A776-E85313636F5D}"/>
  <bookViews>
    <workbookView xWindow="-108" yWindow="-108" windowWidth="23256" windowHeight="12456" tabRatio="581" firstSheet="2" activeTab="2" xr2:uid="{00000000-000D-0000-FFFF-FFFF00000000}"/>
  </bookViews>
  <sheets>
    <sheet name="תכנון + ביצוע" sheetId="1" r:id="rId1"/>
    <sheet name="התקדמות פרויקטים" sheetId="2" r:id="rId2"/>
    <sheet name="Funnel" sheetId="4" r:id="rId3"/>
    <sheet name="שרות - כללי" sheetId="5" r:id="rId4"/>
  </sheets>
  <definedNames>
    <definedName name="_xlnm._FilterDatabase" localSheetId="2" hidden="1">Funnel!$A$3:$X$438</definedName>
    <definedName name="_xlnm._FilterDatabase" localSheetId="1" hidden="1">'התקדמות פרויקטים'!$A$6:$CM$65</definedName>
    <definedName name="_xlnm._FilterDatabase" localSheetId="0" hidden="1">'תכנון + ביצוע'!$A$67:$G$82</definedName>
    <definedName name="_xleta.N" hidden="1" xlm="1">#NAME?</definedName>
    <definedName name="_xleta.SUMIF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5" i="2" l="1"/>
  <c r="T55" i="2"/>
  <c r="AF71" i="2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AA59" i="2"/>
  <c r="I33" i="2"/>
  <c r="H33" i="2" s="1"/>
  <c r="M33" i="2"/>
  <c r="S33" i="2"/>
  <c r="T33" i="2"/>
  <c r="U33" i="2" s="1"/>
  <c r="V33" i="2"/>
  <c r="Z33" i="2"/>
  <c r="AD33" i="2"/>
  <c r="AH33" i="2"/>
  <c r="AL33" i="2"/>
  <c r="AP33" i="2"/>
  <c r="AT33" i="2"/>
  <c r="AX33" i="2"/>
  <c r="BB33" i="2"/>
  <c r="BF33" i="2"/>
  <c r="BJ33" i="2"/>
  <c r="BN33" i="2"/>
  <c r="BR33" i="2"/>
  <c r="BT33" i="2"/>
  <c r="BS33" i="2" s="1"/>
  <c r="BU33" i="2"/>
  <c r="BY33" i="2"/>
  <c r="BZ33" i="2"/>
  <c r="AI155" i="5"/>
  <c r="AH155" i="5"/>
  <c r="AG155" i="5"/>
  <c r="AF155" i="5"/>
  <c r="AE155" i="5"/>
  <c r="AD155" i="5"/>
  <c r="AC155" i="5"/>
  <c r="AB155" i="5"/>
  <c r="AA155" i="5"/>
  <c r="Z155" i="5"/>
  <c r="Y155" i="5"/>
  <c r="X155" i="5"/>
  <c r="W155" i="5"/>
  <c r="V155" i="5"/>
  <c r="U155" i="5"/>
  <c r="T155" i="5"/>
  <c r="S155" i="5"/>
  <c r="R155" i="5"/>
  <c r="Q155" i="5"/>
  <c r="P155" i="5"/>
  <c r="O155" i="5"/>
  <c r="N155" i="5"/>
  <c r="M155" i="5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M81" i="2"/>
  <c r="L81" i="2"/>
  <c r="K81" i="2"/>
  <c r="J81" i="2"/>
  <c r="I81" i="2"/>
  <c r="H81" i="2"/>
  <c r="G81" i="2"/>
  <c r="F81" i="2"/>
  <c r="E81" i="2"/>
  <c r="D81" i="2"/>
  <c r="B81" i="2"/>
  <c r="C81" i="2"/>
  <c r="I37" i="2"/>
  <c r="H30" i="2"/>
  <c r="BO69" i="2"/>
  <c r="BK69" i="2"/>
  <c r="BG69" i="2"/>
  <c r="BC69" i="2"/>
  <c r="AY69" i="2"/>
  <c r="AU69" i="2"/>
  <c r="AQ69" i="2"/>
  <c r="AM69" i="2"/>
  <c r="AI69" i="2"/>
  <c r="AE69" i="2"/>
  <c r="AA69" i="2"/>
  <c r="W69" i="2"/>
  <c r="BZ57" i="2"/>
  <c r="BZ56" i="2"/>
  <c r="BZ55" i="2"/>
  <c r="BZ54" i="2"/>
  <c r="BZ53" i="2"/>
  <c r="BU57" i="2"/>
  <c r="BU56" i="2"/>
  <c r="BU55" i="2"/>
  <c r="BU54" i="2"/>
  <c r="BU53" i="2"/>
  <c r="BU52" i="2"/>
  <c r="BU51" i="2"/>
  <c r="BU50" i="2"/>
  <c r="BU49" i="2"/>
  <c r="BU48" i="2"/>
  <c r="BU47" i="2"/>
  <c r="BU46" i="2"/>
  <c r="BU45" i="2"/>
  <c r="BU44" i="2"/>
  <c r="BU43" i="2"/>
  <c r="BU42" i="2"/>
  <c r="BU41" i="2"/>
  <c r="BU39" i="2"/>
  <c r="BU38" i="2"/>
  <c r="BU37" i="2"/>
  <c r="BU36" i="2"/>
  <c r="BU35" i="2"/>
  <c r="BY57" i="2"/>
  <c r="BY56" i="2"/>
  <c r="BY55" i="2"/>
  <c r="BY54" i="2"/>
  <c r="BY53" i="2"/>
  <c r="BY52" i="2"/>
  <c r="BY51" i="2"/>
  <c r="BY50" i="2"/>
  <c r="BY49" i="2"/>
  <c r="BY48" i="2"/>
  <c r="BY47" i="2"/>
  <c r="BY46" i="2"/>
  <c r="BY45" i="2"/>
  <c r="BY44" i="2"/>
  <c r="BY43" i="2"/>
  <c r="BY42" i="2"/>
  <c r="BY41" i="2"/>
  <c r="BY39" i="2"/>
  <c r="BY38" i="2"/>
  <c r="BY37" i="2"/>
  <c r="BR57" i="2"/>
  <c r="BR56" i="2"/>
  <c r="BR55" i="2"/>
  <c r="BR54" i="2"/>
  <c r="BR53" i="2"/>
  <c r="BJ57" i="2"/>
  <c r="BJ56" i="2"/>
  <c r="BJ55" i="2"/>
  <c r="BJ54" i="2"/>
  <c r="BJ53" i="2"/>
  <c r="BJ52" i="2"/>
  <c r="BJ51" i="2"/>
  <c r="BJ49" i="2"/>
  <c r="AH57" i="2"/>
  <c r="AH56" i="2"/>
  <c r="AH55" i="2"/>
  <c r="AH54" i="2"/>
  <c r="AH53" i="2"/>
  <c r="AH52" i="2"/>
  <c r="AH51" i="2"/>
  <c r="AH50" i="2"/>
  <c r="AD57" i="2"/>
  <c r="AD56" i="2"/>
  <c r="AD55" i="2"/>
  <c r="AD54" i="2"/>
  <c r="AD53" i="2"/>
  <c r="AD52" i="2"/>
  <c r="AD51" i="2"/>
  <c r="Z57" i="2"/>
  <c r="Z56" i="2"/>
  <c r="Z55" i="2"/>
  <c r="Z54" i="2"/>
  <c r="Z53" i="2"/>
  <c r="Z52" i="2"/>
  <c r="Z51" i="2"/>
  <c r="BT57" i="2"/>
  <c r="BN57" i="2"/>
  <c r="BF57" i="2"/>
  <c r="BB57" i="2"/>
  <c r="AX57" i="2"/>
  <c r="AT57" i="2"/>
  <c r="AP57" i="2"/>
  <c r="AL57" i="2"/>
  <c r="S57" i="2"/>
  <c r="T57" i="2" s="1"/>
  <c r="U57" i="2" s="1"/>
  <c r="M57" i="2"/>
  <c r="I57" i="2"/>
  <c r="H57" i="2" s="1"/>
  <c r="BT56" i="2"/>
  <c r="BS56" i="2" s="1"/>
  <c r="BN56" i="2"/>
  <c r="BF56" i="2"/>
  <c r="BB56" i="2"/>
  <c r="AX56" i="2"/>
  <c r="AT56" i="2"/>
  <c r="AP56" i="2"/>
  <c r="AL56" i="2"/>
  <c r="S56" i="2"/>
  <c r="T56" i="2" s="1"/>
  <c r="U56" i="2" s="1"/>
  <c r="M56" i="2"/>
  <c r="I56" i="2"/>
  <c r="H56" i="2" s="1"/>
  <c r="BT55" i="2"/>
  <c r="BN55" i="2"/>
  <c r="BF55" i="2"/>
  <c r="BB55" i="2"/>
  <c r="AX55" i="2"/>
  <c r="AT55" i="2"/>
  <c r="AP55" i="2"/>
  <c r="AL55" i="2"/>
  <c r="S55" i="2"/>
  <c r="M55" i="2"/>
  <c r="I55" i="2"/>
  <c r="H55" i="2" s="1"/>
  <c r="BT54" i="2"/>
  <c r="BN54" i="2"/>
  <c r="BF54" i="2"/>
  <c r="BB54" i="2"/>
  <c r="AX54" i="2"/>
  <c r="AT54" i="2"/>
  <c r="AP54" i="2"/>
  <c r="AL54" i="2"/>
  <c r="S54" i="2"/>
  <c r="U54" i="2" s="1"/>
  <c r="M54" i="2"/>
  <c r="I54" i="2"/>
  <c r="H54" i="2" s="1"/>
  <c r="BT53" i="2"/>
  <c r="BS53" i="2" s="1"/>
  <c r="BN53" i="2"/>
  <c r="BF53" i="2"/>
  <c r="BB53" i="2"/>
  <c r="AX53" i="2"/>
  <c r="AT53" i="2"/>
  <c r="AP53" i="2"/>
  <c r="AL53" i="2"/>
  <c r="S53" i="2"/>
  <c r="T53" i="2" s="1"/>
  <c r="U53" i="2" s="1"/>
  <c r="M53" i="2"/>
  <c r="I53" i="2"/>
  <c r="H53" i="2" s="1"/>
  <c r="C364" i="4"/>
  <c r="C365" i="4"/>
  <c r="C366" i="4"/>
  <c r="C367" i="4"/>
  <c r="C368" i="4"/>
  <c r="C369" i="4"/>
  <c r="BF52" i="2"/>
  <c r="BF51" i="2"/>
  <c r="BB52" i="2"/>
  <c r="BB51" i="2"/>
  <c r="AT51" i="2"/>
  <c r="AX52" i="2"/>
  <c r="AX51" i="2"/>
  <c r="I52" i="2"/>
  <c r="H52" i="2" s="1"/>
  <c r="BT52" i="2"/>
  <c r="BS52" i="2" s="1"/>
  <c r="BR52" i="2"/>
  <c r="BN52" i="2"/>
  <c r="AT52" i="2"/>
  <c r="AP52" i="2"/>
  <c r="AL52" i="2"/>
  <c r="S52" i="2"/>
  <c r="T52" i="2" s="1"/>
  <c r="M52" i="2"/>
  <c r="BN51" i="2"/>
  <c r="BN50" i="2"/>
  <c r="BN49" i="2"/>
  <c r="BN48" i="2"/>
  <c r="AL51" i="2"/>
  <c r="AL50" i="2"/>
  <c r="AL49" i="2"/>
  <c r="AL48" i="2"/>
  <c r="AL47" i="2"/>
  <c r="AP51" i="2"/>
  <c r="AP50" i="2"/>
  <c r="AP49" i="2"/>
  <c r="AP48" i="2"/>
  <c r="AP47" i="2"/>
  <c r="BX33" i="2" l="1"/>
  <c r="BW57" i="2"/>
  <c r="BW33" i="2"/>
  <c r="BV33" i="2"/>
  <c r="BW54" i="2"/>
  <c r="BW55" i="2"/>
  <c r="BX57" i="2"/>
  <c r="BX55" i="2"/>
  <c r="BX54" i="2"/>
  <c r="BV56" i="2"/>
  <c r="BS54" i="2"/>
  <c r="BX56" i="2"/>
  <c r="BV57" i="2"/>
  <c r="BS55" i="2"/>
  <c r="BS57" i="2"/>
  <c r="BV52" i="2"/>
  <c r="BV53" i="2"/>
  <c r="BV54" i="2"/>
  <c r="BV55" i="2"/>
  <c r="BX53" i="2"/>
  <c r="BW53" i="2"/>
  <c r="BX52" i="2"/>
  <c r="BW52" i="2"/>
  <c r="BU34" i="2"/>
  <c r="BR34" i="2"/>
  <c r="Z50" i="2"/>
  <c r="AD50" i="2"/>
  <c r="AT50" i="2"/>
  <c r="AX50" i="2"/>
  <c r="BB50" i="2"/>
  <c r="BF50" i="2"/>
  <c r="BJ50" i="2"/>
  <c r="BZ50" i="2"/>
  <c r="BZ49" i="2"/>
  <c r="BZ48" i="2"/>
  <c r="BT51" i="2"/>
  <c r="BT50" i="2"/>
  <c r="BT49" i="2"/>
  <c r="BT48" i="2"/>
  <c r="BR51" i="2"/>
  <c r="BR50" i="2"/>
  <c r="BR49" i="2"/>
  <c r="BR48" i="2"/>
  <c r="V51" i="2"/>
  <c r="V50" i="2"/>
  <c r="S51" i="2"/>
  <c r="T51" i="2" s="1"/>
  <c r="U51" i="2" s="1"/>
  <c r="S50" i="2"/>
  <c r="T50" i="2" s="1"/>
  <c r="U50" i="2" s="1"/>
  <c r="S49" i="2"/>
  <c r="T49" i="2" s="1"/>
  <c r="U49" i="2" s="1"/>
  <c r="S48" i="2"/>
  <c r="T48" i="2" s="1"/>
  <c r="U48" i="2" s="1"/>
  <c r="M51" i="2"/>
  <c r="M50" i="2"/>
  <c r="M49" i="2"/>
  <c r="M48" i="2"/>
  <c r="I51" i="2"/>
  <c r="H51" i="2" s="1"/>
  <c r="I50" i="2"/>
  <c r="H50" i="2" s="1"/>
  <c r="I49" i="2"/>
  <c r="H49" i="2" s="1"/>
  <c r="I48" i="2"/>
  <c r="H48" i="2" s="1"/>
  <c r="V49" i="2"/>
  <c r="Z49" i="2"/>
  <c r="AD49" i="2"/>
  <c r="AH49" i="2"/>
  <c r="AT49" i="2"/>
  <c r="AX49" i="2"/>
  <c r="BB49" i="2"/>
  <c r="BF49" i="2"/>
  <c r="V48" i="2"/>
  <c r="Z48" i="2"/>
  <c r="AD48" i="2"/>
  <c r="AH48" i="2"/>
  <c r="AT48" i="2"/>
  <c r="AX48" i="2"/>
  <c r="BB48" i="2"/>
  <c r="BF48" i="2"/>
  <c r="BJ48" i="2"/>
  <c r="AL46" i="2"/>
  <c r="AP46" i="2"/>
  <c r="C354" i="4"/>
  <c r="C355" i="4"/>
  <c r="C356" i="4"/>
  <c r="C357" i="4"/>
  <c r="C358" i="4"/>
  <c r="C359" i="4"/>
  <c r="C360" i="4"/>
  <c r="C361" i="4"/>
  <c r="C362" i="4"/>
  <c r="C363" i="4"/>
  <c r="C353" i="4"/>
  <c r="BJ45" i="2"/>
  <c r="BT38" i="2"/>
  <c r="BY27" i="2"/>
  <c r="BF43" i="2"/>
  <c r="AL45" i="2"/>
  <c r="AP45" i="2"/>
  <c r="BB47" i="2"/>
  <c r="BB46" i="2"/>
  <c r="BB45" i="2"/>
  <c r="BB44" i="2"/>
  <c r="BB43" i="2"/>
  <c r="BB42" i="2"/>
  <c r="AX47" i="2"/>
  <c r="AX46" i="2"/>
  <c r="AX45" i="2"/>
  <c r="AX44" i="2"/>
  <c r="AX43" i="2"/>
  <c r="AX42" i="2"/>
  <c r="AX41" i="2"/>
  <c r="AT47" i="2"/>
  <c r="AT46" i="2"/>
  <c r="AT45" i="2"/>
  <c r="AT44" i="2"/>
  <c r="AT43" i="2"/>
  <c r="AT42" i="2"/>
  <c r="AP44" i="2"/>
  <c r="AP43" i="2"/>
  <c r="AP42" i="2"/>
  <c r="AL44" i="2"/>
  <c r="AL43" i="2"/>
  <c r="AL42" i="2"/>
  <c r="AH47" i="2"/>
  <c r="AH46" i="2"/>
  <c r="AH45" i="2"/>
  <c r="AH44" i="2"/>
  <c r="AH43" i="2"/>
  <c r="AH42" i="2"/>
  <c r="AD47" i="2"/>
  <c r="AD46" i="2"/>
  <c r="AD45" i="2"/>
  <c r="AD44" i="2"/>
  <c r="AD43" i="2"/>
  <c r="AD42" i="2"/>
  <c r="Z47" i="2"/>
  <c r="Z46" i="2"/>
  <c r="Z45" i="2"/>
  <c r="Z44" i="2"/>
  <c r="Z43" i="2"/>
  <c r="Z42" i="2"/>
  <c r="I19" i="2"/>
  <c r="H19" i="2" s="1"/>
  <c r="M19" i="2"/>
  <c r="S19" i="2"/>
  <c r="T19" i="2" s="1"/>
  <c r="U19" i="2" s="1"/>
  <c r="V19" i="2"/>
  <c r="Z19" i="2"/>
  <c r="AD19" i="2"/>
  <c r="AH19" i="2"/>
  <c r="AL19" i="2"/>
  <c r="AP19" i="2"/>
  <c r="AT19" i="2"/>
  <c r="AX19" i="2"/>
  <c r="BB19" i="2"/>
  <c r="BF19" i="2"/>
  <c r="BJ19" i="2"/>
  <c r="BN19" i="2"/>
  <c r="BR19" i="2"/>
  <c r="BT19" i="2"/>
  <c r="BS19" i="2" s="1"/>
  <c r="BU19" i="2"/>
  <c r="BY19" i="2"/>
  <c r="BZ19" i="2"/>
  <c r="BN47" i="2"/>
  <c r="BN46" i="2"/>
  <c r="BN45" i="2"/>
  <c r="BN44" i="2"/>
  <c r="BN43" i="2"/>
  <c r="BN42" i="2"/>
  <c r="J109" i="5"/>
  <c r="BJ47" i="2"/>
  <c r="BJ46" i="2"/>
  <c r="BJ44" i="2"/>
  <c r="BJ43" i="2"/>
  <c r="BJ42" i="2"/>
  <c r="BF47" i="2"/>
  <c r="BF46" i="2"/>
  <c r="BF45" i="2"/>
  <c r="BF44" i="2"/>
  <c r="BF42" i="2"/>
  <c r="BF41" i="2"/>
  <c r="C341" i="4"/>
  <c r="C342" i="4"/>
  <c r="C343" i="4"/>
  <c r="C344" i="4"/>
  <c r="C345" i="4"/>
  <c r="C346" i="4"/>
  <c r="C347" i="4"/>
  <c r="C348" i="4"/>
  <c r="C349" i="4"/>
  <c r="C350" i="4"/>
  <c r="C351" i="4"/>
  <c r="C352" i="4"/>
  <c r="BS48" i="2" l="1"/>
  <c r="BV48" i="2"/>
  <c r="BS49" i="2"/>
  <c r="BV49" i="2"/>
  <c r="BS51" i="2"/>
  <c r="BV51" i="2"/>
  <c r="BV50" i="2"/>
  <c r="BS50" i="2"/>
  <c r="BW49" i="2"/>
  <c r="BW50" i="2"/>
  <c r="BW48" i="2"/>
  <c r="BX50" i="2"/>
  <c r="BX51" i="2"/>
  <c r="BX48" i="2"/>
  <c r="BX49" i="2"/>
  <c r="BW19" i="2"/>
  <c r="BV19" i="2"/>
  <c r="BX19" i="2"/>
  <c r="Z41" i="2"/>
  <c r="AD41" i="2"/>
  <c r="AH41" i="2"/>
  <c r="AL41" i="2"/>
  <c r="AP41" i="2"/>
  <c r="AT41" i="2"/>
  <c r="BB41" i="2"/>
  <c r="BJ41" i="2"/>
  <c r="BN41" i="2"/>
  <c r="BZ47" i="2"/>
  <c r="BZ46" i="2"/>
  <c r="BZ45" i="2"/>
  <c r="BZ44" i="2"/>
  <c r="BZ43" i="2"/>
  <c r="BZ42" i="2"/>
  <c r="BZ41" i="2"/>
  <c r="BZ39" i="2"/>
  <c r="BZ38" i="2"/>
  <c r="BT47" i="2"/>
  <c r="BT46" i="2"/>
  <c r="BT45" i="2"/>
  <c r="BT44" i="2"/>
  <c r="BS44" i="2" s="1"/>
  <c r="BT43" i="2"/>
  <c r="BS43" i="2" s="1"/>
  <c r="BT42" i="2"/>
  <c r="BS42" i="2" s="1"/>
  <c r="BT41" i="2"/>
  <c r="BT39" i="2"/>
  <c r="BS38" i="2"/>
  <c r="BR47" i="2"/>
  <c r="BR46" i="2"/>
  <c r="BR45" i="2"/>
  <c r="BR44" i="2"/>
  <c r="BR43" i="2"/>
  <c r="BR42" i="2"/>
  <c r="BR41" i="2"/>
  <c r="BR39" i="2"/>
  <c r="BR38" i="2"/>
  <c r="V47" i="2"/>
  <c r="V46" i="2"/>
  <c r="V45" i="2"/>
  <c r="V44" i="2"/>
  <c r="V43" i="2"/>
  <c r="V42" i="2"/>
  <c r="V41" i="2"/>
  <c r="S38" i="2"/>
  <c r="T38" i="2" s="1"/>
  <c r="U38" i="2" s="1"/>
  <c r="S47" i="2"/>
  <c r="T47" i="2" s="1"/>
  <c r="U47" i="2" s="1"/>
  <c r="S46" i="2"/>
  <c r="T46" i="2" s="1"/>
  <c r="U46" i="2" s="1"/>
  <c r="S45" i="2"/>
  <c r="T45" i="2" s="1"/>
  <c r="U45" i="2" s="1"/>
  <c r="S44" i="2"/>
  <c r="T44" i="2" s="1"/>
  <c r="U44" i="2" s="1"/>
  <c r="S43" i="2"/>
  <c r="T43" i="2" s="1"/>
  <c r="U43" i="2" s="1"/>
  <c r="S42" i="2"/>
  <c r="T42" i="2" s="1"/>
  <c r="U42" i="2" s="1"/>
  <c r="S41" i="2"/>
  <c r="T41" i="2" s="1"/>
  <c r="U41" i="2" s="1"/>
  <c r="S39" i="2"/>
  <c r="T39" i="2" s="1"/>
  <c r="U39" i="2" s="1"/>
  <c r="M47" i="2"/>
  <c r="M46" i="2"/>
  <c r="M45" i="2"/>
  <c r="M44" i="2"/>
  <c r="M43" i="2"/>
  <c r="M42" i="2"/>
  <c r="M41" i="2"/>
  <c r="M39" i="2"/>
  <c r="M38" i="2"/>
  <c r="I47" i="2"/>
  <c r="H47" i="2" s="1"/>
  <c r="I46" i="2"/>
  <c r="H46" i="2" s="1"/>
  <c r="I45" i="2"/>
  <c r="H45" i="2" s="1"/>
  <c r="I44" i="2"/>
  <c r="H44" i="2" s="1"/>
  <c r="I43" i="2"/>
  <c r="H43" i="2" s="1"/>
  <c r="I42" i="2"/>
  <c r="H42" i="2" s="1"/>
  <c r="I41" i="2"/>
  <c r="H41" i="2" s="1"/>
  <c r="I39" i="2"/>
  <c r="H39" i="2" s="1"/>
  <c r="I38" i="2"/>
  <c r="H38" i="2" s="1"/>
  <c r="V39" i="2"/>
  <c r="Z39" i="2"/>
  <c r="AD39" i="2"/>
  <c r="AH39" i="2"/>
  <c r="AL39" i="2"/>
  <c r="AP39" i="2"/>
  <c r="AT39" i="2"/>
  <c r="AX39" i="2"/>
  <c r="BB39" i="2"/>
  <c r="BF39" i="2"/>
  <c r="BJ39" i="2"/>
  <c r="BN39" i="2"/>
  <c r="V38" i="2"/>
  <c r="Z38" i="2"/>
  <c r="AD38" i="2"/>
  <c r="AH38" i="2"/>
  <c r="AL38" i="2"/>
  <c r="AP38" i="2"/>
  <c r="AT38" i="2"/>
  <c r="AX38" i="2"/>
  <c r="BB38" i="2"/>
  <c r="BF38" i="2"/>
  <c r="BN38" i="2"/>
  <c r="C334" i="4"/>
  <c r="BZ18" i="2"/>
  <c r="BZ29" i="2"/>
  <c r="BZ7" i="2"/>
  <c r="BZ8" i="2"/>
  <c r="BZ14" i="2"/>
  <c r="BZ26" i="2"/>
  <c r="C18" i="4"/>
  <c r="BZ37" i="2"/>
  <c r="BZ36" i="2"/>
  <c r="BZ35" i="2"/>
  <c r="BZ34" i="2"/>
  <c r="BZ32" i="2"/>
  <c r="BZ31" i="2"/>
  <c r="BZ28" i="2"/>
  <c r="BZ27" i="2"/>
  <c r="BZ25" i="2"/>
  <c r="BZ24" i="2"/>
  <c r="BZ23" i="2"/>
  <c r="BZ22" i="2"/>
  <c r="BZ21" i="2"/>
  <c r="BZ20" i="2"/>
  <c r="BZ17" i="2"/>
  <c r="BZ16" i="2"/>
  <c r="BZ15" i="2"/>
  <c r="BZ13" i="2"/>
  <c r="BZ12" i="2"/>
  <c r="BZ10" i="2"/>
  <c r="BZ9" i="2"/>
  <c r="BY36" i="2"/>
  <c r="BY35" i="2"/>
  <c r="BY34" i="2"/>
  <c r="BY32" i="2"/>
  <c r="BY31" i="2"/>
  <c r="BY30" i="2"/>
  <c r="BX30" i="2" s="1"/>
  <c r="BY29" i="2"/>
  <c r="BY28" i="2"/>
  <c r="BY26" i="2"/>
  <c r="BY25" i="2"/>
  <c r="BY24" i="2"/>
  <c r="BY23" i="2"/>
  <c r="BY22" i="2"/>
  <c r="BY21" i="2"/>
  <c r="BY20" i="2"/>
  <c r="BY18" i="2"/>
  <c r="BY17" i="2"/>
  <c r="BY16" i="2"/>
  <c r="BY15" i="2"/>
  <c r="BY14" i="2"/>
  <c r="BY13" i="2"/>
  <c r="BY12" i="2"/>
  <c r="BY11" i="2"/>
  <c r="BY10" i="2"/>
  <c r="BY9" i="2"/>
  <c r="BY8" i="2"/>
  <c r="BY7" i="2"/>
  <c r="C340" i="4"/>
  <c r="C339" i="4"/>
  <c r="C337" i="4"/>
  <c r="C335" i="4"/>
  <c r="C336" i="4"/>
  <c r="C338" i="4"/>
  <c r="C333" i="4"/>
  <c r="C332" i="4"/>
  <c r="C331" i="4"/>
  <c r="C330" i="4"/>
  <c r="C329" i="4"/>
  <c r="C328" i="4"/>
  <c r="C327" i="4"/>
  <c r="C326" i="4"/>
  <c r="BQ68" i="2"/>
  <c r="BQ67" i="2"/>
  <c r="BM68" i="2"/>
  <c r="BM67" i="2"/>
  <c r="BI68" i="2"/>
  <c r="BI67" i="2"/>
  <c r="BE68" i="2"/>
  <c r="BE67" i="2"/>
  <c r="BA68" i="2"/>
  <c r="BA67" i="2"/>
  <c r="AW68" i="2"/>
  <c r="AW67" i="2"/>
  <c r="AO68" i="2"/>
  <c r="AO67" i="2"/>
  <c r="AK68" i="2"/>
  <c r="AK67" i="2"/>
  <c r="AS68" i="2"/>
  <c r="AS67" i="2"/>
  <c r="K278" i="4"/>
  <c r="J11" i="5"/>
  <c r="J31" i="5"/>
  <c r="C306" i="4"/>
  <c r="C307" i="4"/>
  <c r="C321" i="4"/>
  <c r="C313" i="4"/>
  <c r="C314" i="4"/>
  <c r="C322" i="4"/>
  <c r="C308" i="4"/>
  <c r="C311" i="4"/>
  <c r="C315" i="4"/>
  <c r="C317" i="4"/>
  <c r="C318" i="4"/>
  <c r="C319" i="4"/>
  <c r="C320" i="4"/>
  <c r="C323" i="4"/>
  <c r="C324" i="4"/>
  <c r="C325" i="4"/>
  <c r="BS46" i="2" l="1"/>
  <c r="BV46" i="2"/>
  <c r="BS47" i="2"/>
  <c r="BV47" i="2"/>
  <c r="BW47" i="2"/>
  <c r="BW45" i="2"/>
  <c r="BS45" i="2"/>
  <c r="BX46" i="2"/>
  <c r="BX47" i="2"/>
  <c r="BX43" i="2"/>
  <c r="BX45" i="2"/>
  <c r="BW41" i="2"/>
  <c r="BW46" i="2"/>
  <c r="BV41" i="2"/>
  <c r="BS41" i="2"/>
  <c r="BW42" i="2"/>
  <c r="BW43" i="2"/>
  <c r="BV39" i="2"/>
  <c r="BV45" i="2"/>
  <c r="BV43" i="2"/>
  <c r="BX41" i="2"/>
  <c r="BS39" i="2"/>
  <c r="BV42" i="2"/>
  <c r="BX42" i="2"/>
  <c r="BX38" i="2"/>
  <c r="BW44" i="2"/>
  <c r="BV44" i="2"/>
  <c r="BW39" i="2"/>
  <c r="BV38" i="2"/>
  <c r="BW38" i="2"/>
  <c r="BX39" i="2"/>
  <c r="BX44" i="2"/>
  <c r="BX27" i="2"/>
  <c r="BX29" i="2"/>
  <c r="BX20" i="2"/>
  <c r="BX22" i="2"/>
  <c r="BX25" i="2"/>
  <c r="BX34" i="2"/>
  <c r="BX36" i="2"/>
  <c r="BX28" i="2"/>
  <c r="BX17" i="2"/>
  <c r="BX21" i="2"/>
  <c r="BX10" i="2"/>
  <c r="BX15" i="2"/>
  <c r="BX32" i="2"/>
  <c r="BX31" i="2"/>
  <c r="BX35" i="2"/>
  <c r="BX37" i="2"/>
  <c r="BX24" i="2"/>
  <c r="BX11" i="2"/>
  <c r="BX7" i="2"/>
  <c r="BX18" i="2"/>
  <c r="BX12" i="2"/>
  <c r="BX9" i="2"/>
  <c r="BX14" i="2"/>
  <c r="BX16" i="2"/>
  <c r="BX26" i="2"/>
  <c r="BX13" i="2"/>
  <c r="BX23" i="2"/>
  <c r="BX8" i="2"/>
  <c r="AG67" i="2"/>
  <c r="C296" i="4"/>
  <c r="C312" i="4"/>
  <c r="C185" i="4"/>
  <c r="C298" i="4"/>
  <c r="C316" i="4"/>
  <c r="C301" i="4"/>
  <c r="C303" i="4"/>
  <c r="C304" i="4"/>
  <c r="C305" i="4"/>
  <c r="K285" i="4"/>
  <c r="H37" i="2"/>
  <c r="I36" i="2"/>
  <c r="H36" i="2" s="1"/>
  <c r="I35" i="2"/>
  <c r="H35" i="2" s="1"/>
  <c r="I32" i="2"/>
  <c r="H32" i="2" s="1"/>
  <c r="I34" i="2"/>
  <c r="H34" i="2" s="1"/>
  <c r="I31" i="2"/>
  <c r="I30" i="2"/>
  <c r="I29" i="2"/>
  <c r="H29" i="2" s="1"/>
  <c r="I28" i="2"/>
  <c r="H28" i="2" s="1"/>
  <c r="I27" i="2"/>
  <c r="H27" i="2" s="1"/>
  <c r="I26" i="2"/>
  <c r="I25" i="2"/>
  <c r="H25" i="2" s="1"/>
  <c r="I24" i="2"/>
  <c r="H24" i="2" s="1"/>
  <c r="I23" i="2"/>
  <c r="H23" i="2" s="1"/>
  <c r="I22" i="2"/>
  <c r="H22" i="2" s="1"/>
  <c r="I21" i="2"/>
  <c r="H21" i="2" s="1"/>
  <c r="I20" i="2"/>
  <c r="H20" i="2" s="1"/>
  <c r="I18" i="2"/>
  <c r="H18" i="2" s="1"/>
  <c r="I17" i="2"/>
  <c r="H17" i="2" s="1"/>
  <c r="I16" i="2"/>
  <c r="I15" i="2"/>
  <c r="H15" i="2" s="1"/>
  <c r="I14" i="2"/>
  <c r="H14" i="2" s="1"/>
  <c r="I13" i="2"/>
  <c r="I12" i="2"/>
  <c r="H12" i="2" s="1"/>
  <c r="I11" i="2"/>
  <c r="I10" i="2"/>
  <c r="H10" i="2" s="1"/>
  <c r="I9" i="2"/>
  <c r="H9" i="2" s="1"/>
  <c r="I8" i="2"/>
  <c r="I7" i="2"/>
  <c r="H7" i="2" s="1"/>
  <c r="J56" i="5"/>
  <c r="J55" i="5"/>
  <c r="J43" i="5"/>
  <c r="J29" i="5"/>
  <c r="J62" i="5"/>
  <c r="N41" i="1"/>
  <c r="N40" i="1"/>
  <c r="N39" i="1"/>
  <c r="N38" i="1"/>
  <c r="N37" i="1"/>
  <c r="N36" i="1"/>
  <c r="M41" i="1"/>
  <c r="M40" i="1"/>
  <c r="M39" i="1"/>
  <c r="M38" i="1"/>
  <c r="M37" i="1"/>
  <c r="M36" i="1"/>
  <c r="L41" i="1"/>
  <c r="L40" i="1"/>
  <c r="L39" i="1"/>
  <c r="L38" i="1"/>
  <c r="L37" i="1"/>
  <c r="L36" i="1"/>
  <c r="K41" i="1"/>
  <c r="K40" i="1"/>
  <c r="K39" i="1"/>
  <c r="K38" i="1"/>
  <c r="K37" i="1"/>
  <c r="K36" i="1"/>
  <c r="J41" i="1"/>
  <c r="J40" i="1"/>
  <c r="J39" i="1"/>
  <c r="J38" i="1"/>
  <c r="J37" i="1"/>
  <c r="J36" i="1"/>
  <c r="I41" i="1"/>
  <c r="I40" i="1"/>
  <c r="I39" i="1"/>
  <c r="I38" i="1"/>
  <c r="I37" i="1"/>
  <c r="I36" i="1"/>
  <c r="H41" i="1"/>
  <c r="H40" i="1"/>
  <c r="H39" i="1"/>
  <c r="H38" i="1"/>
  <c r="H37" i="1"/>
  <c r="H36" i="1"/>
  <c r="G41" i="1"/>
  <c r="G40" i="1"/>
  <c r="G39" i="1"/>
  <c r="G38" i="1"/>
  <c r="G37" i="1"/>
  <c r="G36" i="1"/>
  <c r="F41" i="1"/>
  <c r="F40" i="1"/>
  <c r="F39" i="1"/>
  <c r="F38" i="1"/>
  <c r="F37" i="1"/>
  <c r="F36" i="1"/>
  <c r="E41" i="1"/>
  <c r="E40" i="1"/>
  <c r="E39" i="1"/>
  <c r="E38" i="1"/>
  <c r="E37" i="1"/>
  <c r="E36" i="1"/>
  <c r="D41" i="1"/>
  <c r="D40" i="1"/>
  <c r="D39" i="1"/>
  <c r="D38" i="1"/>
  <c r="D37" i="1"/>
  <c r="D36" i="1"/>
  <c r="C41" i="1"/>
  <c r="C40" i="1"/>
  <c r="C39" i="1"/>
  <c r="C38" i="1"/>
  <c r="C37" i="1"/>
  <c r="C36" i="1"/>
  <c r="C98" i="2"/>
  <c r="C97" i="2"/>
  <c r="C96" i="2"/>
  <c r="C95" i="2"/>
  <c r="K57" i="5"/>
  <c r="K56" i="5"/>
  <c r="K55" i="5"/>
  <c r="B97" i="2"/>
  <c r="B96" i="2"/>
  <c r="B98" i="2"/>
  <c r="B95" i="2"/>
  <c r="M37" i="2"/>
  <c r="M36" i="2"/>
  <c r="M35" i="2"/>
  <c r="M32" i="2"/>
  <c r="M34" i="2"/>
  <c r="M7" i="2"/>
  <c r="M9" i="2"/>
  <c r="M8" i="2"/>
  <c r="M10" i="2"/>
  <c r="M11" i="2"/>
  <c r="M12" i="2"/>
  <c r="M13" i="2"/>
  <c r="M14" i="2"/>
  <c r="M15" i="2"/>
  <c r="M16" i="2"/>
  <c r="M17" i="2"/>
  <c r="M20" i="2"/>
  <c r="M18" i="2"/>
  <c r="M21" i="2"/>
  <c r="M22" i="2"/>
  <c r="M23" i="2"/>
  <c r="M24" i="2"/>
  <c r="M25" i="2"/>
  <c r="M27" i="2"/>
  <c r="M26" i="2"/>
  <c r="M28" i="2"/>
  <c r="M30" i="2"/>
  <c r="M29" i="2"/>
  <c r="M31" i="2"/>
  <c r="BR37" i="2"/>
  <c r="BR36" i="2"/>
  <c r="BR35" i="2"/>
  <c r="BR32" i="2"/>
  <c r="BR7" i="2"/>
  <c r="BR9" i="2"/>
  <c r="BR8" i="2"/>
  <c r="BR10" i="2"/>
  <c r="BR11" i="2"/>
  <c r="BR12" i="2"/>
  <c r="BR13" i="2"/>
  <c r="BR14" i="2"/>
  <c r="BR15" i="2"/>
  <c r="BR16" i="2"/>
  <c r="BR17" i="2"/>
  <c r="BR20" i="2"/>
  <c r="BR18" i="2"/>
  <c r="BR21" i="2"/>
  <c r="BR22" i="2"/>
  <c r="BR23" i="2"/>
  <c r="BR24" i="2"/>
  <c r="BR25" i="2"/>
  <c r="BR27" i="2"/>
  <c r="BR26" i="2"/>
  <c r="BR28" i="2"/>
  <c r="BR30" i="2"/>
  <c r="BR29" i="2"/>
  <c r="BR31" i="2"/>
  <c r="BN37" i="2"/>
  <c r="BN36" i="2"/>
  <c r="BN35" i="2"/>
  <c r="BN32" i="2"/>
  <c r="BN34" i="2"/>
  <c r="BN7" i="2"/>
  <c r="BN9" i="2"/>
  <c r="BN8" i="2"/>
  <c r="BN10" i="2"/>
  <c r="BN11" i="2"/>
  <c r="BN12" i="2"/>
  <c r="BN13" i="2"/>
  <c r="BN14" i="2"/>
  <c r="BN15" i="2"/>
  <c r="BN16" i="2"/>
  <c r="BN17" i="2"/>
  <c r="BN20" i="2"/>
  <c r="BN18" i="2"/>
  <c r="BN21" i="2"/>
  <c r="BN22" i="2"/>
  <c r="BN23" i="2"/>
  <c r="BN24" i="2"/>
  <c r="BN25" i="2"/>
  <c r="BN27" i="2"/>
  <c r="BN26" i="2"/>
  <c r="BN28" i="2"/>
  <c r="BN30" i="2"/>
  <c r="BN29" i="2"/>
  <c r="BN31" i="2"/>
  <c r="BJ37" i="2"/>
  <c r="BJ36" i="2"/>
  <c r="BJ35" i="2"/>
  <c r="BJ32" i="2"/>
  <c r="BJ34" i="2"/>
  <c r="BJ7" i="2"/>
  <c r="BJ9" i="2"/>
  <c r="BJ8" i="2"/>
  <c r="BJ10" i="2"/>
  <c r="BJ11" i="2"/>
  <c r="BJ12" i="2"/>
  <c r="BJ13" i="2"/>
  <c r="BJ14" i="2"/>
  <c r="BJ15" i="2"/>
  <c r="BJ16" i="2"/>
  <c r="BJ17" i="2"/>
  <c r="BJ20" i="2"/>
  <c r="BJ18" i="2"/>
  <c r="BJ21" i="2"/>
  <c r="BJ22" i="2"/>
  <c r="BJ23" i="2"/>
  <c r="BJ24" i="2"/>
  <c r="BJ25" i="2"/>
  <c r="BJ27" i="2"/>
  <c r="BJ26" i="2"/>
  <c r="BJ28" i="2"/>
  <c r="BJ30" i="2"/>
  <c r="BJ29" i="2"/>
  <c r="BJ31" i="2"/>
  <c r="BF37" i="2"/>
  <c r="BF36" i="2"/>
  <c r="BF35" i="2"/>
  <c r="BF32" i="2"/>
  <c r="BF34" i="2"/>
  <c r="BF7" i="2"/>
  <c r="BF9" i="2"/>
  <c r="BF8" i="2"/>
  <c r="BF10" i="2"/>
  <c r="BF11" i="2"/>
  <c r="BF12" i="2"/>
  <c r="BF13" i="2"/>
  <c r="BF14" i="2"/>
  <c r="BF15" i="2"/>
  <c r="BF16" i="2"/>
  <c r="BF17" i="2"/>
  <c r="BF20" i="2"/>
  <c r="BF18" i="2"/>
  <c r="BF21" i="2"/>
  <c r="BF22" i="2"/>
  <c r="BF23" i="2"/>
  <c r="BF24" i="2"/>
  <c r="BF25" i="2"/>
  <c r="BF27" i="2"/>
  <c r="BF26" i="2"/>
  <c r="BF28" i="2"/>
  <c r="BF30" i="2"/>
  <c r="BF29" i="2"/>
  <c r="BF31" i="2"/>
  <c r="BB37" i="2"/>
  <c r="BB36" i="2"/>
  <c r="BB35" i="2"/>
  <c r="BB32" i="2"/>
  <c r="BB34" i="2"/>
  <c r="BB7" i="2"/>
  <c r="BB9" i="2"/>
  <c r="BB8" i="2"/>
  <c r="BB10" i="2"/>
  <c r="BB11" i="2"/>
  <c r="BB12" i="2"/>
  <c r="BB13" i="2"/>
  <c r="BB14" i="2"/>
  <c r="BB15" i="2"/>
  <c r="BB16" i="2"/>
  <c r="BB17" i="2"/>
  <c r="BB20" i="2"/>
  <c r="BB18" i="2"/>
  <c r="BB21" i="2"/>
  <c r="BB22" i="2"/>
  <c r="BB23" i="2"/>
  <c r="BB24" i="2"/>
  <c r="BB25" i="2"/>
  <c r="BB27" i="2"/>
  <c r="BB26" i="2"/>
  <c r="BB28" i="2"/>
  <c r="BB30" i="2"/>
  <c r="BB29" i="2"/>
  <c r="BB31" i="2"/>
  <c r="AX37" i="2"/>
  <c r="AX36" i="2"/>
  <c r="AX35" i="2"/>
  <c r="AX32" i="2"/>
  <c r="AX34" i="2"/>
  <c r="AX7" i="2"/>
  <c r="AX9" i="2"/>
  <c r="AX8" i="2"/>
  <c r="AX10" i="2"/>
  <c r="AX11" i="2"/>
  <c r="AX12" i="2"/>
  <c r="AX13" i="2"/>
  <c r="AX14" i="2"/>
  <c r="AX15" i="2"/>
  <c r="AX16" i="2"/>
  <c r="AX17" i="2"/>
  <c r="AX20" i="2"/>
  <c r="AX18" i="2"/>
  <c r="AX21" i="2"/>
  <c r="AX22" i="2"/>
  <c r="AX23" i="2"/>
  <c r="AX24" i="2"/>
  <c r="AX25" i="2"/>
  <c r="AX27" i="2"/>
  <c r="AX26" i="2"/>
  <c r="AX28" i="2"/>
  <c r="AX30" i="2"/>
  <c r="AX29" i="2"/>
  <c r="AX31" i="2"/>
  <c r="AT37" i="2"/>
  <c r="AT36" i="2"/>
  <c r="AT35" i="2"/>
  <c r="AT32" i="2"/>
  <c r="AT34" i="2"/>
  <c r="AT7" i="2"/>
  <c r="AT9" i="2"/>
  <c r="AT8" i="2"/>
  <c r="AT10" i="2"/>
  <c r="AT11" i="2"/>
  <c r="AT12" i="2"/>
  <c r="AT13" i="2"/>
  <c r="AT14" i="2"/>
  <c r="AT15" i="2"/>
  <c r="AT16" i="2"/>
  <c r="AT17" i="2"/>
  <c r="AT20" i="2"/>
  <c r="AT18" i="2"/>
  <c r="AT21" i="2"/>
  <c r="AT22" i="2"/>
  <c r="AT23" i="2"/>
  <c r="AT24" i="2"/>
  <c r="AT25" i="2"/>
  <c r="AT27" i="2"/>
  <c r="AT26" i="2"/>
  <c r="AT28" i="2"/>
  <c r="AT30" i="2"/>
  <c r="AT29" i="2"/>
  <c r="AT31" i="2"/>
  <c r="AP37" i="2"/>
  <c r="AP36" i="2"/>
  <c r="AP35" i="2"/>
  <c r="AP32" i="2"/>
  <c r="AP34" i="2"/>
  <c r="AP7" i="2"/>
  <c r="AP9" i="2"/>
  <c r="AP8" i="2"/>
  <c r="AP10" i="2"/>
  <c r="AP11" i="2"/>
  <c r="AP12" i="2"/>
  <c r="AP13" i="2"/>
  <c r="AP14" i="2"/>
  <c r="AP15" i="2"/>
  <c r="AP16" i="2"/>
  <c r="AP17" i="2"/>
  <c r="AP20" i="2"/>
  <c r="AP18" i="2"/>
  <c r="AP21" i="2"/>
  <c r="AP22" i="2"/>
  <c r="AP23" i="2"/>
  <c r="AP24" i="2"/>
  <c r="AP25" i="2"/>
  <c r="AP27" i="2"/>
  <c r="AP26" i="2"/>
  <c r="AP28" i="2"/>
  <c r="AP30" i="2"/>
  <c r="AP29" i="2"/>
  <c r="AP31" i="2"/>
  <c r="AL37" i="2"/>
  <c r="AL36" i="2"/>
  <c r="AL35" i="2"/>
  <c r="AL32" i="2"/>
  <c r="AL34" i="2"/>
  <c r="AL7" i="2"/>
  <c r="AL9" i="2"/>
  <c r="AL8" i="2"/>
  <c r="AL10" i="2"/>
  <c r="AL11" i="2"/>
  <c r="AL12" i="2"/>
  <c r="AL13" i="2"/>
  <c r="AL14" i="2"/>
  <c r="AL15" i="2"/>
  <c r="AL16" i="2"/>
  <c r="AL17" i="2"/>
  <c r="AL20" i="2"/>
  <c r="AL18" i="2"/>
  <c r="AL21" i="2"/>
  <c r="AL22" i="2"/>
  <c r="AL23" i="2"/>
  <c r="AL24" i="2"/>
  <c r="AL25" i="2"/>
  <c r="AL27" i="2"/>
  <c r="AL26" i="2"/>
  <c r="AL28" i="2"/>
  <c r="AL30" i="2"/>
  <c r="AL29" i="2"/>
  <c r="AL31" i="2"/>
  <c r="AH37" i="2"/>
  <c r="AH36" i="2"/>
  <c r="AH35" i="2"/>
  <c r="AH32" i="2"/>
  <c r="AH34" i="2"/>
  <c r="AH7" i="2"/>
  <c r="AH9" i="2"/>
  <c r="AH8" i="2"/>
  <c r="AH10" i="2"/>
  <c r="AH11" i="2"/>
  <c r="AH12" i="2"/>
  <c r="AH13" i="2"/>
  <c r="AH14" i="2"/>
  <c r="AH15" i="2"/>
  <c r="AH16" i="2"/>
  <c r="AH17" i="2"/>
  <c r="AH20" i="2"/>
  <c r="AH18" i="2"/>
  <c r="AH21" i="2"/>
  <c r="AH22" i="2"/>
  <c r="AH23" i="2"/>
  <c r="AH24" i="2"/>
  <c r="AH25" i="2"/>
  <c r="AH27" i="2"/>
  <c r="AH26" i="2"/>
  <c r="AH28" i="2"/>
  <c r="AH30" i="2"/>
  <c r="AH29" i="2"/>
  <c r="AH31" i="2"/>
  <c r="AD37" i="2"/>
  <c r="AD36" i="2"/>
  <c r="AD35" i="2"/>
  <c r="AD32" i="2"/>
  <c r="AD34" i="2"/>
  <c r="AD7" i="2"/>
  <c r="AD9" i="2"/>
  <c r="AD8" i="2"/>
  <c r="AD10" i="2"/>
  <c r="AD11" i="2"/>
  <c r="AD12" i="2"/>
  <c r="AD13" i="2"/>
  <c r="AD14" i="2"/>
  <c r="AD15" i="2"/>
  <c r="AD16" i="2"/>
  <c r="AD17" i="2"/>
  <c r="AD20" i="2"/>
  <c r="AD18" i="2"/>
  <c r="AD21" i="2"/>
  <c r="AD22" i="2"/>
  <c r="AD23" i="2"/>
  <c r="AD24" i="2"/>
  <c r="AD25" i="2"/>
  <c r="AD27" i="2"/>
  <c r="AD26" i="2"/>
  <c r="AD28" i="2"/>
  <c r="AD30" i="2"/>
  <c r="AD29" i="2"/>
  <c r="AD31" i="2"/>
  <c r="Z37" i="2"/>
  <c r="Z36" i="2"/>
  <c r="Z35" i="2"/>
  <c r="Z32" i="2"/>
  <c r="Z34" i="2"/>
  <c r="Z7" i="2"/>
  <c r="Z9" i="2"/>
  <c r="Z8" i="2"/>
  <c r="Z10" i="2"/>
  <c r="Z11" i="2"/>
  <c r="Z12" i="2"/>
  <c r="Z13" i="2"/>
  <c r="Z14" i="2"/>
  <c r="Z15" i="2"/>
  <c r="Z16" i="2"/>
  <c r="Z17" i="2"/>
  <c r="Z20" i="2"/>
  <c r="Z18" i="2"/>
  <c r="Z21" i="2"/>
  <c r="Z22" i="2"/>
  <c r="Z23" i="2"/>
  <c r="Z24" i="2"/>
  <c r="Z25" i="2"/>
  <c r="Z27" i="2"/>
  <c r="Z26" i="2"/>
  <c r="Z28" i="2"/>
  <c r="Z30" i="2"/>
  <c r="Z29" i="2"/>
  <c r="Z31" i="2"/>
  <c r="V37" i="2"/>
  <c r="V36" i="2"/>
  <c r="V35" i="2"/>
  <c r="V32" i="2"/>
  <c r="V34" i="2"/>
  <c r="V7" i="2"/>
  <c r="V9" i="2"/>
  <c r="V8" i="2"/>
  <c r="V10" i="2"/>
  <c r="V11" i="2"/>
  <c r="V12" i="2"/>
  <c r="V13" i="2"/>
  <c r="V14" i="2"/>
  <c r="V15" i="2"/>
  <c r="V16" i="2"/>
  <c r="V17" i="2"/>
  <c r="V20" i="2"/>
  <c r="V18" i="2"/>
  <c r="V21" i="2"/>
  <c r="V22" i="2"/>
  <c r="V23" i="2"/>
  <c r="V24" i="2"/>
  <c r="V25" i="2"/>
  <c r="V27" i="2"/>
  <c r="V26" i="2"/>
  <c r="V28" i="2"/>
  <c r="V30" i="2"/>
  <c r="V29" i="2"/>
  <c r="V31" i="2"/>
  <c r="C294" i="4"/>
  <c r="C262" i="4"/>
  <c r="C272" i="4"/>
  <c r="C270" i="4"/>
  <c r="C271" i="4"/>
  <c r="C266" i="4"/>
  <c r="C268" i="4"/>
  <c r="C276" i="4"/>
  <c r="C299" i="4"/>
  <c r="C279" i="4"/>
  <c r="C278" i="4"/>
  <c r="C280" i="4"/>
  <c r="C273" i="4"/>
  <c r="C283" i="4"/>
  <c r="C274" i="4"/>
  <c r="C284" i="4"/>
  <c r="C277" i="4"/>
  <c r="C281" i="4"/>
  <c r="C288" i="4"/>
  <c r="C289" i="4"/>
  <c r="C282" i="4"/>
  <c r="C302" i="4"/>
  <c r="C287" i="4"/>
  <c r="C290" i="4"/>
  <c r="C291" i="4"/>
  <c r="C295" i="4"/>
  <c r="C297" i="4"/>
  <c r="C309" i="4"/>
  <c r="C310" i="4"/>
  <c r="C300" i="4"/>
  <c r="C254" i="4"/>
  <c r="C275" i="4"/>
  <c r="C240" i="4"/>
  <c r="C257" i="4"/>
  <c r="C242" i="4"/>
  <c r="C259" i="4"/>
  <c r="C243" i="4"/>
  <c r="C249" i="4"/>
  <c r="C292" i="4"/>
  <c r="C263" i="4"/>
  <c r="C258" i="4"/>
  <c r="C260" i="4"/>
  <c r="C293" i="4"/>
  <c r="C264" i="4"/>
  <c r="C256" i="4"/>
  <c r="C267" i="4"/>
  <c r="C286" i="4"/>
  <c r="C253" i="4"/>
  <c r="C252" i="4"/>
  <c r="BZ68" i="2" l="1"/>
  <c r="BZ67" i="2"/>
  <c r="H67" i="2"/>
  <c r="BX68" i="2"/>
  <c r="BY68" i="2"/>
  <c r="BY67" i="2"/>
  <c r="I68" i="2"/>
  <c r="I67" i="2"/>
  <c r="B38" i="1"/>
  <c r="B37" i="1"/>
  <c r="B39" i="1"/>
  <c r="B36" i="1"/>
  <c r="B41" i="1"/>
  <c r="B40" i="1"/>
  <c r="M98" i="2"/>
  <c r="M97" i="2"/>
  <c r="M96" i="2"/>
  <c r="M95" i="2"/>
  <c r="M100" i="2" s="1"/>
  <c r="N13" i="1" s="1"/>
  <c r="L98" i="2"/>
  <c r="L97" i="2"/>
  <c r="L96" i="2"/>
  <c r="L95" i="2"/>
  <c r="L100" i="2" s="1"/>
  <c r="M13" i="1" s="1"/>
  <c r="M88" i="2"/>
  <c r="M87" i="2"/>
  <c r="M86" i="2"/>
  <c r="M85" i="2"/>
  <c r="L88" i="2"/>
  <c r="L87" i="2"/>
  <c r="L86" i="2"/>
  <c r="L85" i="2"/>
  <c r="L80" i="2"/>
  <c r="BU32" i="2"/>
  <c r="BU31" i="2"/>
  <c r="BU30" i="2"/>
  <c r="BV30" i="2" s="1"/>
  <c r="BU29" i="2"/>
  <c r="BU28" i="2"/>
  <c r="BU26" i="2"/>
  <c r="BU27" i="2"/>
  <c r="BU25" i="2"/>
  <c r="BU24" i="2"/>
  <c r="BU23" i="2"/>
  <c r="BU22" i="2"/>
  <c r="BU21" i="2"/>
  <c r="BU20" i="2"/>
  <c r="BU18" i="2"/>
  <c r="BU17" i="2"/>
  <c r="BU16" i="2"/>
  <c r="BU15" i="2"/>
  <c r="BU14" i="2"/>
  <c r="BU13" i="2"/>
  <c r="BU12" i="2"/>
  <c r="BU11" i="2"/>
  <c r="BU10" i="2"/>
  <c r="BU9" i="2"/>
  <c r="BU8" i="2"/>
  <c r="BU7" i="2"/>
  <c r="BT37" i="2"/>
  <c r="BT36" i="2"/>
  <c r="BT35" i="2"/>
  <c r="BT32" i="2"/>
  <c r="BS32" i="2" s="1"/>
  <c r="BT34" i="2"/>
  <c r="BT31" i="2"/>
  <c r="BS31" i="2" s="1"/>
  <c r="BT29" i="2"/>
  <c r="BT28" i="2"/>
  <c r="BT26" i="2"/>
  <c r="BT27" i="2"/>
  <c r="BT25" i="2"/>
  <c r="BT24" i="2"/>
  <c r="BT23" i="2"/>
  <c r="BT22" i="2"/>
  <c r="BT21" i="2"/>
  <c r="BT20" i="2"/>
  <c r="BT18" i="2"/>
  <c r="BT17" i="2"/>
  <c r="BT16" i="2"/>
  <c r="BT15" i="2"/>
  <c r="BT14" i="2"/>
  <c r="BT13" i="2"/>
  <c r="BT12" i="2"/>
  <c r="BT11" i="2"/>
  <c r="BT10" i="2"/>
  <c r="BT9" i="2"/>
  <c r="BT8" i="2"/>
  <c r="BT7" i="2"/>
  <c r="BS7" i="2" s="1"/>
  <c r="BO68" i="2"/>
  <c r="M77" i="2" s="1"/>
  <c r="BO67" i="2"/>
  <c r="BP68" i="2"/>
  <c r="BP67" i="2"/>
  <c r="BL68" i="2"/>
  <c r="BL67" i="2"/>
  <c r="BK68" i="2"/>
  <c r="L77" i="2" s="1"/>
  <c r="BK67" i="2"/>
  <c r="BH68" i="2"/>
  <c r="BH67" i="2"/>
  <c r="BG68" i="2"/>
  <c r="BG67" i="2"/>
  <c r="BD68" i="2"/>
  <c r="BD67" i="2"/>
  <c r="AZ68" i="2"/>
  <c r="AZ67" i="2"/>
  <c r="BC68" i="2"/>
  <c r="BC67" i="2"/>
  <c r="AY68" i="2"/>
  <c r="AY67" i="2"/>
  <c r="AV68" i="2"/>
  <c r="AV67" i="2"/>
  <c r="AR68" i="2"/>
  <c r="AR67" i="2"/>
  <c r="AU68" i="2"/>
  <c r="AU67" i="2"/>
  <c r="AN68" i="2"/>
  <c r="AN67" i="2"/>
  <c r="Q67" i="2"/>
  <c r="AJ68" i="2"/>
  <c r="AJ67" i="2"/>
  <c r="AF68" i="2"/>
  <c r="AF67" i="2"/>
  <c r="E42" i="1" s="1"/>
  <c r="AB68" i="2"/>
  <c r="AB67" i="2"/>
  <c r="AM68" i="2"/>
  <c r="AM67" i="2"/>
  <c r="AI68" i="2"/>
  <c r="AI67" i="2"/>
  <c r="AG68" i="2"/>
  <c r="AA68" i="2"/>
  <c r="AA67" i="2"/>
  <c r="Y68" i="2"/>
  <c r="Y67" i="2"/>
  <c r="X68" i="2"/>
  <c r="X67" i="2"/>
  <c r="W68" i="2"/>
  <c r="W67" i="2"/>
  <c r="S34" i="2"/>
  <c r="T34" i="2" s="1"/>
  <c r="U34" i="2" s="1"/>
  <c r="S36" i="2"/>
  <c r="T36" i="2" s="1"/>
  <c r="U36" i="2" s="1"/>
  <c r="S35" i="2"/>
  <c r="T35" i="2" s="1"/>
  <c r="U35" i="2" s="1"/>
  <c r="S32" i="2"/>
  <c r="T32" i="2" s="1"/>
  <c r="U32" i="2" s="1"/>
  <c r="S37" i="2"/>
  <c r="T37" i="2" s="1"/>
  <c r="U37" i="2" s="1"/>
  <c r="S31" i="2"/>
  <c r="T31" i="2" s="1"/>
  <c r="U31" i="2" s="1"/>
  <c r="S30" i="2"/>
  <c r="T30" i="2" s="1"/>
  <c r="U30" i="2" s="1"/>
  <c r="S29" i="2"/>
  <c r="S28" i="2"/>
  <c r="T28" i="2" s="1"/>
  <c r="U28" i="2" s="1"/>
  <c r="S26" i="2"/>
  <c r="T26" i="2" s="1"/>
  <c r="U26" i="2" s="1"/>
  <c r="S27" i="2"/>
  <c r="S25" i="2"/>
  <c r="T25" i="2" s="1"/>
  <c r="U25" i="2" s="1"/>
  <c r="S24" i="2"/>
  <c r="T24" i="2" s="1"/>
  <c r="U24" i="2" s="1"/>
  <c r="S23" i="2"/>
  <c r="T23" i="2" s="1"/>
  <c r="U23" i="2" s="1"/>
  <c r="S22" i="2"/>
  <c r="T22" i="2" s="1"/>
  <c r="U22" i="2" s="1"/>
  <c r="T21" i="2"/>
  <c r="U21" i="2" s="1"/>
  <c r="S20" i="2"/>
  <c r="T20" i="2" s="1"/>
  <c r="U20" i="2" s="1"/>
  <c r="S18" i="2"/>
  <c r="T18" i="2" s="1"/>
  <c r="U18" i="2" s="1"/>
  <c r="S17" i="2"/>
  <c r="T17" i="2" s="1"/>
  <c r="U17" i="2" s="1"/>
  <c r="S16" i="2"/>
  <c r="T16" i="2" s="1"/>
  <c r="U16" i="2" s="1"/>
  <c r="S15" i="2"/>
  <c r="T15" i="2" s="1"/>
  <c r="U15" i="2" s="1"/>
  <c r="S14" i="2"/>
  <c r="T14" i="2" s="1"/>
  <c r="U14" i="2" s="1"/>
  <c r="S13" i="2"/>
  <c r="T13" i="2" s="1"/>
  <c r="U13" i="2" s="1"/>
  <c r="S12" i="2"/>
  <c r="T12" i="2" s="1"/>
  <c r="U12" i="2" s="1"/>
  <c r="S11" i="2"/>
  <c r="T11" i="2" s="1"/>
  <c r="U11" i="2" s="1"/>
  <c r="S10" i="2"/>
  <c r="T10" i="2" s="1"/>
  <c r="U10" i="2" s="1"/>
  <c r="S9" i="2"/>
  <c r="T9" i="2" s="1"/>
  <c r="U9" i="2" s="1"/>
  <c r="S8" i="2"/>
  <c r="T8" i="2" s="1"/>
  <c r="U8" i="2" s="1"/>
  <c r="S7" i="2"/>
  <c r="T7" i="2" s="1"/>
  <c r="U7" i="2" s="1"/>
  <c r="X71" i="2" l="1"/>
  <c r="BW16" i="2"/>
  <c r="BW25" i="2"/>
  <c r="T27" i="2"/>
  <c r="U27" i="2" s="1"/>
  <c r="T29" i="2"/>
  <c r="U29" i="2" s="1"/>
  <c r="BW37" i="2"/>
  <c r="BS37" i="2"/>
  <c r="H68" i="2"/>
  <c r="C1" i="2" s="1"/>
  <c r="BX67" i="2"/>
  <c r="L91" i="2"/>
  <c r="M89" i="2"/>
  <c r="M91" i="2"/>
  <c r="M90" i="2"/>
  <c r="L89" i="2"/>
  <c r="L90" i="2"/>
  <c r="AJ71" i="2"/>
  <c r="F42" i="1" s="1"/>
  <c r="BW13" i="2"/>
  <c r="X75" i="2"/>
  <c r="M101" i="2"/>
  <c r="N14" i="1" s="1"/>
  <c r="C42" i="1"/>
  <c r="BW15" i="2"/>
  <c r="BW7" i="2"/>
  <c r="BW11" i="2"/>
  <c r="BW20" i="2"/>
  <c r="BS9" i="2"/>
  <c r="BW9" i="2"/>
  <c r="BS27" i="2"/>
  <c r="BW27" i="2"/>
  <c r="BW10" i="2"/>
  <c r="BW18" i="2"/>
  <c r="BW32" i="2"/>
  <c r="BS35" i="2"/>
  <c r="BW35" i="2"/>
  <c r="BW12" i="2"/>
  <c r="BS29" i="2"/>
  <c r="BW29" i="2"/>
  <c r="BS36" i="2"/>
  <c r="BW36" i="2"/>
  <c r="BS24" i="2"/>
  <c r="BW24" i="2"/>
  <c r="BS22" i="2"/>
  <c r="BW22" i="2"/>
  <c r="BS28" i="2"/>
  <c r="BW28" i="2"/>
  <c r="BS34" i="2"/>
  <c r="BW34" i="2"/>
  <c r="BW8" i="2"/>
  <c r="BS23" i="2"/>
  <c r="BW23" i="2"/>
  <c r="BS14" i="2"/>
  <c r="BW14" i="2"/>
  <c r="BS30" i="2"/>
  <c r="BW30" i="2"/>
  <c r="BS17" i="2"/>
  <c r="BW17" i="2"/>
  <c r="BS21" i="2"/>
  <c r="BW21" i="2"/>
  <c r="BS26" i="2"/>
  <c r="BW26" i="2"/>
  <c r="BW31" i="2"/>
  <c r="BV10" i="2"/>
  <c r="BV18" i="2"/>
  <c r="BV15" i="2"/>
  <c r="BV7" i="2"/>
  <c r="BV11" i="2"/>
  <c r="BV20" i="2"/>
  <c r="BV8" i="2"/>
  <c r="BV25" i="2"/>
  <c r="BV16" i="2"/>
  <c r="BV13" i="2"/>
  <c r="BS8" i="2"/>
  <c r="BS25" i="2"/>
  <c r="BS11" i="2"/>
  <c r="BS16" i="2"/>
  <c r="BS13" i="2"/>
  <c r="BS20" i="2"/>
  <c r="BV12" i="2"/>
  <c r="BS15" i="2"/>
  <c r="BV17" i="2"/>
  <c r="BV21" i="2"/>
  <c r="BS12" i="2"/>
  <c r="BV22" i="2"/>
  <c r="BV24" i="2"/>
  <c r="BS10" i="2"/>
  <c r="BS18" i="2"/>
  <c r="L101" i="2"/>
  <c r="M14" i="1" s="1"/>
  <c r="L99" i="2"/>
  <c r="BV9" i="2"/>
  <c r="BV14" i="2"/>
  <c r="BV23" i="2"/>
  <c r="S67" i="2"/>
  <c r="BV34" i="2"/>
  <c r="BV32" i="2"/>
  <c r="BV35" i="2"/>
  <c r="BV36" i="2"/>
  <c r="BV37" i="2"/>
  <c r="T67" i="2" l="1"/>
  <c r="O252" i="4"/>
  <c r="Q252" i="4"/>
  <c r="R252" i="4"/>
  <c r="S252" i="4"/>
  <c r="T252" i="4"/>
  <c r="U252" i="4"/>
  <c r="V252" i="4"/>
  <c r="W252" i="4"/>
  <c r="X252" i="4"/>
  <c r="O251" i="4"/>
  <c r="Q251" i="4"/>
  <c r="R251" i="4"/>
  <c r="S251" i="4"/>
  <c r="T251" i="4"/>
  <c r="U251" i="4"/>
  <c r="V251" i="4"/>
  <c r="W251" i="4"/>
  <c r="X251" i="4"/>
  <c r="O253" i="4"/>
  <c r="Q253" i="4"/>
  <c r="R253" i="4"/>
  <c r="S253" i="4"/>
  <c r="T253" i="4"/>
  <c r="U253" i="4"/>
  <c r="V253" i="4"/>
  <c r="W253" i="4"/>
  <c r="X253" i="4"/>
  <c r="O254" i="4"/>
  <c r="Q254" i="4"/>
  <c r="R254" i="4"/>
  <c r="S254" i="4"/>
  <c r="T254" i="4"/>
  <c r="U254" i="4"/>
  <c r="V254" i="4"/>
  <c r="W254" i="4"/>
  <c r="X254" i="4"/>
  <c r="O275" i="4"/>
  <c r="Q275" i="4"/>
  <c r="R275" i="4"/>
  <c r="S275" i="4"/>
  <c r="T275" i="4"/>
  <c r="U275" i="4"/>
  <c r="V275" i="4"/>
  <c r="W275" i="4"/>
  <c r="X275" i="4"/>
  <c r="O240" i="4"/>
  <c r="Q240" i="4"/>
  <c r="R240" i="4"/>
  <c r="S240" i="4"/>
  <c r="T240" i="4"/>
  <c r="U240" i="4"/>
  <c r="V240" i="4"/>
  <c r="W240" i="4"/>
  <c r="X240" i="4"/>
  <c r="O257" i="4"/>
  <c r="Q257" i="4"/>
  <c r="R257" i="4"/>
  <c r="S257" i="4"/>
  <c r="T257" i="4"/>
  <c r="U257" i="4"/>
  <c r="V257" i="4"/>
  <c r="W257" i="4"/>
  <c r="X257" i="4"/>
  <c r="O242" i="4"/>
  <c r="Q242" i="4"/>
  <c r="R242" i="4"/>
  <c r="S242" i="4"/>
  <c r="T242" i="4"/>
  <c r="U242" i="4"/>
  <c r="V242" i="4"/>
  <c r="W242" i="4"/>
  <c r="X242" i="4"/>
  <c r="O259" i="4"/>
  <c r="Q259" i="4"/>
  <c r="R259" i="4"/>
  <c r="S259" i="4"/>
  <c r="T259" i="4"/>
  <c r="U259" i="4"/>
  <c r="V259" i="4"/>
  <c r="W259" i="4"/>
  <c r="X259" i="4"/>
  <c r="O243" i="4"/>
  <c r="Q243" i="4"/>
  <c r="R243" i="4"/>
  <c r="S243" i="4"/>
  <c r="T243" i="4"/>
  <c r="U243" i="4"/>
  <c r="V243" i="4"/>
  <c r="W243" i="4"/>
  <c r="X243" i="4"/>
  <c r="O249" i="4"/>
  <c r="Q249" i="4"/>
  <c r="R249" i="4"/>
  <c r="S249" i="4"/>
  <c r="T249" i="4"/>
  <c r="U249" i="4"/>
  <c r="V249" i="4"/>
  <c r="W249" i="4"/>
  <c r="X249" i="4"/>
  <c r="O292" i="4"/>
  <c r="Q292" i="4"/>
  <c r="R292" i="4"/>
  <c r="S292" i="4"/>
  <c r="T292" i="4"/>
  <c r="U292" i="4"/>
  <c r="V292" i="4"/>
  <c r="W292" i="4"/>
  <c r="X292" i="4"/>
  <c r="O263" i="4"/>
  <c r="Q263" i="4"/>
  <c r="R263" i="4"/>
  <c r="S263" i="4"/>
  <c r="T263" i="4"/>
  <c r="U263" i="4"/>
  <c r="V263" i="4"/>
  <c r="W263" i="4"/>
  <c r="X263" i="4"/>
  <c r="O258" i="4"/>
  <c r="Q258" i="4"/>
  <c r="R258" i="4"/>
  <c r="S258" i="4"/>
  <c r="T258" i="4"/>
  <c r="U258" i="4"/>
  <c r="V258" i="4"/>
  <c r="W258" i="4"/>
  <c r="X258" i="4"/>
  <c r="O260" i="4"/>
  <c r="Q260" i="4"/>
  <c r="R260" i="4"/>
  <c r="S260" i="4"/>
  <c r="T260" i="4"/>
  <c r="U260" i="4"/>
  <c r="V260" i="4"/>
  <c r="W260" i="4"/>
  <c r="X260" i="4"/>
  <c r="O293" i="4"/>
  <c r="Q293" i="4"/>
  <c r="R293" i="4"/>
  <c r="S293" i="4"/>
  <c r="T293" i="4"/>
  <c r="U293" i="4"/>
  <c r="V293" i="4"/>
  <c r="W293" i="4"/>
  <c r="X293" i="4"/>
  <c r="O264" i="4"/>
  <c r="Q264" i="4"/>
  <c r="R264" i="4"/>
  <c r="S264" i="4"/>
  <c r="T264" i="4"/>
  <c r="U264" i="4"/>
  <c r="V264" i="4"/>
  <c r="W264" i="4"/>
  <c r="X264" i="4"/>
  <c r="O256" i="4"/>
  <c r="Q256" i="4"/>
  <c r="R256" i="4"/>
  <c r="S256" i="4"/>
  <c r="T256" i="4"/>
  <c r="U256" i="4"/>
  <c r="V256" i="4"/>
  <c r="W256" i="4"/>
  <c r="X256" i="4"/>
  <c r="O267" i="4"/>
  <c r="Q267" i="4"/>
  <c r="R267" i="4"/>
  <c r="S267" i="4"/>
  <c r="T267" i="4"/>
  <c r="U267" i="4"/>
  <c r="V267" i="4"/>
  <c r="W267" i="4"/>
  <c r="X267" i="4"/>
  <c r="C251" i="4"/>
  <c r="C239" i="4"/>
  <c r="C248" i="4"/>
  <c r="C238" i="4"/>
  <c r="C247" i="4"/>
  <c r="C176" i="4"/>
  <c r="C250" i="4"/>
  <c r="X250" i="4"/>
  <c r="X176" i="4"/>
  <c r="X247" i="4"/>
  <c r="X238" i="4"/>
  <c r="X248" i="4"/>
  <c r="X239" i="4"/>
  <c r="X245" i="4"/>
  <c r="X237" i="4"/>
  <c r="X236" i="4"/>
  <c r="X235" i="4"/>
  <c r="X233" i="4"/>
  <c r="X231" i="4"/>
  <c r="X230" i="4"/>
  <c r="X229" i="4"/>
  <c r="X228" i="4"/>
  <c r="X225" i="4"/>
  <c r="X241" i="4"/>
  <c r="X224" i="4"/>
  <c r="X223" i="4"/>
  <c r="X222" i="4"/>
  <c r="X221" i="4"/>
  <c r="X220" i="4"/>
  <c r="X265" i="4"/>
  <c r="X261" i="4"/>
  <c r="X255" i="4"/>
  <c r="X227" i="4"/>
  <c r="X35" i="4"/>
  <c r="X226" i="4"/>
  <c r="X217" i="4"/>
  <c r="X214" i="4"/>
  <c r="X212" i="4"/>
  <c r="X199" i="4"/>
  <c r="X196" i="4"/>
  <c r="X193" i="4"/>
  <c r="X244" i="4"/>
  <c r="X192" i="4"/>
  <c r="X213" i="4"/>
  <c r="X191" i="4"/>
  <c r="X211" i="4"/>
  <c r="X210" i="4"/>
  <c r="X219" i="4"/>
  <c r="X208" i="4"/>
  <c r="X218" i="4"/>
  <c r="X206" i="4"/>
  <c r="X205" i="4"/>
  <c r="X204" i="4"/>
  <c r="X216" i="4"/>
  <c r="X202" i="4"/>
  <c r="X215" i="4"/>
  <c r="X200" i="4"/>
  <c r="X209" i="4"/>
  <c r="X207" i="4"/>
  <c r="X197" i="4"/>
  <c r="X189" i="4"/>
  <c r="X203" i="4"/>
  <c r="X201" i="4"/>
  <c r="X246" i="4"/>
  <c r="X198" i="4"/>
  <c r="X195" i="4"/>
  <c r="X194" i="4"/>
  <c r="X184" i="4"/>
  <c r="X188" i="4"/>
  <c r="X187" i="4"/>
  <c r="X186" i="4"/>
  <c r="X170" i="4"/>
  <c r="X180" i="4"/>
  <c r="X183" i="4"/>
  <c r="X182" i="4"/>
  <c r="X269" i="4"/>
  <c r="X172" i="4"/>
  <c r="X179" i="4"/>
  <c r="X190" i="4"/>
  <c r="X177" i="4"/>
  <c r="X160" i="4"/>
  <c r="X175" i="4"/>
  <c r="X232" i="4"/>
  <c r="X173" i="4"/>
  <c r="X168" i="4"/>
  <c r="X181" i="4"/>
  <c r="X162" i="4"/>
  <c r="X178" i="4"/>
  <c r="X161" i="4"/>
  <c r="X167" i="4"/>
  <c r="X166" i="4"/>
  <c r="X152" i="4"/>
  <c r="X174" i="4"/>
  <c r="X171" i="4"/>
  <c r="X159" i="4"/>
  <c r="X156" i="4"/>
  <c r="X169" i="4"/>
  <c r="X165" i="4"/>
  <c r="X158" i="4"/>
  <c r="X157" i="4"/>
  <c r="X154" i="4"/>
  <c r="X155" i="4"/>
  <c r="X164" i="4"/>
  <c r="X153" i="4"/>
  <c r="X163" i="4"/>
  <c r="X151" i="4"/>
  <c r="X150" i="4"/>
  <c r="X149" i="4"/>
  <c r="X148" i="4"/>
  <c r="X147" i="4"/>
  <c r="X146" i="4"/>
  <c r="X145" i="4"/>
  <c r="X144" i="4"/>
  <c r="X143" i="4"/>
  <c r="X142" i="4"/>
  <c r="X124" i="4"/>
  <c r="X140" i="4"/>
  <c r="X139" i="4"/>
  <c r="X138" i="4"/>
  <c r="X137" i="4"/>
  <c r="X141" i="4"/>
  <c r="X135" i="4"/>
  <c r="X136" i="4"/>
  <c r="X133" i="4"/>
  <c r="X134" i="4"/>
  <c r="X131" i="4"/>
  <c r="X130" i="4"/>
  <c r="X132" i="4"/>
  <c r="X129" i="4"/>
  <c r="X128" i="4"/>
  <c r="X127" i="4"/>
  <c r="X125" i="4"/>
  <c r="X126" i="4"/>
  <c r="X109" i="4"/>
  <c r="X122" i="4"/>
  <c r="X121" i="4"/>
  <c r="X120" i="4"/>
  <c r="X119" i="4"/>
  <c r="X118" i="4"/>
  <c r="X117" i="4"/>
  <c r="X116" i="4"/>
  <c r="X115" i="4"/>
  <c r="X123" i="4"/>
  <c r="X113" i="4"/>
  <c r="X114" i="4"/>
  <c r="C7" i="4"/>
  <c r="C8" i="4"/>
  <c r="C9" i="4"/>
  <c r="BV31" i="2" l="1"/>
  <c r="BV29" i="2"/>
  <c r="K235" i="4" l="1"/>
  <c r="C17" i="4" l="1"/>
  <c r="C14" i="4"/>
  <c r="C58" i="4"/>
  <c r="C38" i="4"/>
  <c r="C223" i="4"/>
  <c r="C224" i="4"/>
  <c r="C241" i="4"/>
  <c r="C225" i="4"/>
  <c r="C228" i="4"/>
  <c r="C229" i="4"/>
  <c r="C230" i="4"/>
  <c r="C231" i="4"/>
  <c r="C233" i="4"/>
  <c r="C235" i="4"/>
  <c r="C236" i="4"/>
  <c r="C237" i="4"/>
  <c r="C245" i="4"/>
  <c r="C222" i="4"/>
  <c r="C221" i="4"/>
  <c r="C220" i="4"/>
  <c r="C265" i="4"/>
  <c r="C261" i="4"/>
  <c r="C255" i="4"/>
  <c r="C227" i="4"/>
  <c r="C35" i="4"/>
  <c r="C226" i="4"/>
  <c r="BV26" i="2" l="1"/>
  <c r="BV27" i="2"/>
  <c r="BV28" i="2"/>
  <c r="C217" i="4"/>
  <c r="C214" i="4"/>
  <c r="C212" i="4"/>
  <c r="C199" i="4"/>
  <c r="C196" i="4"/>
  <c r="C193" i="4"/>
  <c r="C244" i="4"/>
  <c r="C192" i="4" l="1"/>
  <c r="C213" i="4"/>
  <c r="O250" i="4"/>
  <c r="Q250" i="4"/>
  <c r="R250" i="4"/>
  <c r="S250" i="4"/>
  <c r="T250" i="4"/>
  <c r="U250" i="4"/>
  <c r="V250" i="4"/>
  <c r="W250" i="4"/>
  <c r="N48" i="1"/>
  <c r="M48" i="1"/>
  <c r="L48" i="1"/>
  <c r="K48" i="1"/>
  <c r="J48" i="1"/>
  <c r="I48" i="1"/>
  <c r="H48" i="1"/>
  <c r="G48" i="1"/>
  <c r="F48" i="1"/>
  <c r="E48" i="1"/>
  <c r="D48" i="1"/>
  <c r="C48" i="1"/>
  <c r="C183" i="4"/>
  <c r="C180" i="4"/>
  <c r="C170" i="4"/>
  <c r="C186" i="4"/>
  <c r="C187" i="4"/>
  <c r="C188" i="4"/>
  <c r="C184" i="4"/>
  <c r="C194" i="4"/>
  <c r="C195" i="4"/>
  <c r="C198" i="4"/>
  <c r="C246" i="4"/>
  <c r="C201" i="4"/>
  <c r="C203" i="4"/>
  <c r="C189" i="4"/>
  <c r="C197" i="4"/>
  <c r="C207" i="4"/>
  <c r="C209" i="4"/>
  <c r="C200" i="4"/>
  <c r="C215" i="4"/>
  <c r="C202" i="4"/>
  <c r="C216" i="4"/>
  <c r="C204" i="4"/>
  <c r="C205" i="4"/>
  <c r="C206" i="4"/>
  <c r="C218" i="4"/>
  <c r="C208" i="4"/>
  <c r="C219" i="4"/>
  <c r="C210" i="4"/>
  <c r="C211" i="4"/>
  <c r="C191" i="4"/>
  <c r="K155" i="4"/>
  <c r="C60" i="4"/>
  <c r="K162" i="4"/>
  <c r="F20" i="1"/>
  <c r="D20" i="1"/>
  <c r="E20" i="1"/>
  <c r="C20" i="1"/>
  <c r="F19" i="1"/>
  <c r="E19" i="1"/>
  <c r="D19" i="1"/>
  <c r="C19" i="1"/>
  <c r="B5" i="1"/>
  <c r="K53" i="1" s="1"/>
  <c r="E53" i="1" s="1"/>
  <c r="C181" i="4"/>
  <c r="C168" i="4"/>
  <c r="C173" i="4"/>
  <c r="C232" i="4"/>
  <c r="C175" i="4"/>
  <c r="C160" i="4"/>
  <c r="C177" i="4"/>
  <c r="C190" i="4"/>
  <c r="C179" i="4"/>
  <c r="C172" i="4"/>
  <c r="C269" i="4"/>
  <c r="C182" i="4"/>
  <c r="AI5" i="5"/>
  <c r="AK5" i="5" s="1"/>
  <c r="AG5" i="5"/>
  <c r="AF5" i="5"/>
  <c r="AE5" i="5"/>
  <c r="AD5" i="5"/>
  <c r="AC5" i="5"/>
  <c r="AB5" i="5"/>
  <c r="AA5" i="5"/>
  <c r="Z5" i="5"/>
  <c r="AW69" i="2"/>
  <c r="W5" i="5"/>
  <c r="V5" i="5"/>
  <c r="U5" i="5"/>
  <c r="T5" i="5"/>
  <c r="S5" i="5"/>
  <c r="R5" i="5"/>
  <c r="Q5" i="5"/>
  <c r="P5" i="5"/>
  <c r="O5" i="5"/>
  <c r="N5" i="5"/>
  <c r="K100" i="5"/>
  <c r="AK100" i="5" s="1"/>
  <c r="J100" i="5"/>
  <c r="AJ100" i="5" s="1"/>
  <c r="AK97" i="5"/>
  <c r="AJ97" i="5"/>
  <c r="K96" i="5"/>
  <c r="AK96" i="5" s="1"/>
  <c r="J96" i="5"/>
  <c r="AJ96" i="5" s="1"/>
  <c r="K95" i="5"/>
  <c r="AK95" i="5" s="1"/>
  <c r="AJ95" i="5"/>
  <c r="K93" i="5"/>
  <c r="AK93" i="5" s="1"/>
  <c r="J93" i="5"/>
  <c r="AJ93" i="5" s="1"/>
  <c r="K92" i="5"/>
  <c r="AK92" i="5" s="1"/>
  <c r="AJ92" i="5"/>
  <c r="K91" i="5"/>
  <c r="AK91" i="5" s="1"/>
  <c r="AJ91" i="5"/>
  <c r="K90" i="5"/>
  <c r="AK90" i="5" s="1"/>
  <c r="J90" i="5"/>
  <c r="AJ90" i="5" s="1"/>
  <c r="K89" i="5"/>
  <c r="AK89" i="5" s="1"/>
  <c r="J89" i="5"/>
  <c r="AJ89" i="5" s="1"/>
  <c r="K88" i="5"/>
  <c r="AK88" i="5" s="1"/>
  <c r="AJ88" i="5"/>
  <c r="K87" i="5"/>
  <c r="AK87" i="5" s="1"/>
  <c r="AJ87" i="5"/>
  <c r="K86" i="5"/>
  <c r="AK86" i="5" s="1"/>
  <c r="J86" i="5"/>
  <c r="AJ86" i="5" s="1"/>
  <c r="K85" i="5"/>
  <c r="AK85" i="5" s="1"/>
  <c r="AJ85" i="5"/>
  <c r="K84" i="5"/>
  <c r="AK84" i="5" s="1"/>
  <c r="J84" i="5"/>
  <c r="AJ84" i="5" s="1"/>
  <c r="K83" i="5"/>
  <c r="AK83" i="5" s="1"/>
  <c r="J83" i="5"/>
  <c r="AJ83" i="5" s="1"/>
  <c r="K82" i="5"/>
  <c r="AK82" i="5" s="1"/>
  <c r="AJ82" i="5"/>
  <c r="K77" i="5"/>
  <c r="AK77" i="5" s="1"/>
  <c r="J77" i="5"/>
  <c r="AJ77" i="5" s="1"/>
  <c r="K76" i="5"/>
  <c r="AK76" i="5" s="1"/>
  <c r="J76" i="5"/>
  <c r="AJ76" i="5" s="1"/>
  <c r="K75" i="5"/>
  <c r="AK75" i="5" s="1"/>
  <c r="J75" i="5"/>
  <c r="AJ75" i="5" s="1"/>
  <c r="K74" i="5"/>
  <c r="AK74" i="5" s="1"/>
  <c r="AJ74" i="5"/>
  <c r="K73" i="5"/>
  <c r="AK73" i="5" s="1"/>
  <c r="J73" i="5"/>
  <c r="AJ73" i="5" s="1"/>
  <c r="K72" i="5"/>
  <c r="AK72" i="5" s="1"/>
  <c r="J72" i="5"/>
  <c r="AJ72" i="5" s="1"/>
  <c r="K71" i="5"/>
  <c r="AK71" i="5" s="1"/>
  <c r="AJ71" i="5"/>
  <c r="K67" i="5"/>
  <c r="AK67" i="5" s="1"/>
  <c r="J67" i="5"/>
  <c r="AJ67" i="5" s="1"/>
  <c r="K65" i="5"/>
  <c r="AK65" i="5" s="1"/>
  <c r="J65" i="5"/>
  <c r="AJ65" i="5" s="1"/>
  <c r="K64" i="5"/>
  <c r="AK64" i="5" s="1"/>
  <c r="AJ64" i="5"/>
  <c r="K63" i="5"/>
  <c r="AK63" i="5" s="1"/>
  <c r="J63" i="5"/>
  <c r="AJ63" i="5" s="1"/>
  <c r="K62" i="5"/>
  <c r="AK62" i="5" s="1"/>
  <c r="AJ62" i="5"/>
  <c r="K60" i="5"/>
  <c r="AK60" i="5" s="1"/>
  <c r="J60" i="5"/>
  <c r="AJ60" i="5" s="1"/>
  <c r="K59" i="5"/>
  <c r="AK59" i="5" s="1"/>
  <c r="J59" i="5"/>
  <c r="AJ59" i="5" s="1"/>
  <c r="AK57" i="5"/>
  <c r="AJ57" i="5"/>
  <c r="AK56" i="5"/>
  <c r="AJ56" i="5"/>
  <c r="AK55" i="5"/>
  <c r="AJ55" i="5"/>
  <c r="K47" i="5"/>
  <c r="J47" i="5"/>
  <c r="AJ47" i="5" s="1"/>
  <c r="K46" i="5"/>
  <c r="AK46" i="5" s="1"/>
  <c r="J46" i="5"/>
  <c r="AJ46" i="5" s="1"/>
  <c r="K45" i="5"/>
  <c r="AK45" i="5" s="1"/>
  <c r="J45" i="5"/>
  <c r="AJ45" i="5" s="1"/>
  <c r="K44" i="5"/>
  <c r="AK44" i="5" s="1"/>
  <c r="AJ44" i="5"/>
  <c r="AJ43" i="5"/>
  <c r="K43" i="5"/>
  <c r="AK43" i="5" s="1"/>
  <c r="K39" i="5"/>
  <c r="AK39" i="5" s="1"/>
  <c r="AJ39" i="5"/>
  <c r="K38" i="5"/>
  <c r="AK38" i="5" s="1"/>
  <c r="J38" i="5"/>
  <c r="AJ38" i="5" s="1"/>
  <c r="K37" i="5"/>
  <c r="J37" i="5"/>
  <c r="AJ37" i="5" s="1"/>
  <c r="K34" i="5"/>
  <c r="AK34" i="5" s="1"/>
  <c r="J34" i="5"/>
  <c r="AJ34" i="5" s="1"/>
  <c r="K32" i="5"/>
  <c r="AK32" i="5" s="1"/>
  <c r="AJ32" i="5"/>
  <c r="K31" i="5"/>
  <c r="AK31" i="5" s="1"/>
  <c r="AJ31" i="5"/>
  <c r="AK30" i="5"/>
  <c r="AJ30" i="5"/>
  <c r="K29" i="5"/>
  <c r="AK29" i="5" s="1"/>
  <c r="AJ29" i="5"/>
  <c r="K27" i="5"/>
  <c r="AK27" i="5" s="1"/>
  <c r="J27" i="5"/>
  <c r="AJ27" i="5" s="1"/>
  <c r="AJ26" i="5"/>
  <c r="K26" i="5"/>
  <c r="AK26" i="5" s="1"/>
  <c r="K25" i="5"/>
  <c r="AK25" i="5" s="1"/>
  <c r="J25" i="5"/>
  <c r="AJ25" i="5" s="1"/>
  <c r="K24" i="5"/>
  <c r="AK24" i="5" s="1"/>
  <c r="J24" i="5"/>
  <c r="AJ24" i="5" s="1"/>
  <c r="AK23" i="5"/>
  <c r="AJ23" i="5"/>
  <c r="K22" i="5"/>
  <c r="AK22" i="5" s="1"/>
  <c r="J22" i="5"/>
  <c r="K21" i="5"/>
  <c r="AK21" i="5" s="1"/>
  <c r="J21" i="5"/>
  <c r="AJ21" i="5" s="1"/>
  <c r="AJ20" i="5"/>
  <c r="AK20" i="5"/>
  <c r="K19" i="5"/>
  <c r="AK19" i="5" s="1"/>
  <c r="J19" i="5"/>
  <c r="AJ19" i="5" s="1"/>
  <c r="K18" i="5"/>
  <c r="AK18" i="5" s="1"/>
  <c r="J18" i="5"/>
  <c r="AJ18" i="5" s="1"/>
  <c r="K17" i="5"/>
  <c r="AK17" i="5" s="1"/>
  <c r="J17" i="5"/>
  <c r="AJ17" i="5" s="1"/>
  <c r="K14" i="5"/>
  <c r="AK14" i="5" s="1"/>
  <c r="J14" i="5"/>
  <c r="AJ14" i="5" s="1"/>
  <c r="K11" i="5"/>
  <c r="AK11" i="5" s="1"/>
  <c r="AJ11" i="5"/>
  <c r="K8" i="5"/>
  <c r="J8" i="5"/>
  <c r="C162" i="4"/>
  <c r="C178" i="4"/>
  <c r="C161" i="4"/>
  <c r="C167" i="4"/>
  <c r="C166" i="4"/>
  <c r="C152" i="4"/>
  <c r="C174" i="4"/>
  <c r="C159" i="4"/>
  <c r="C156" i="4"/>
  <c r="C157" i="4"/>
  <c r="C151" i="4"/>
  <c r="C149" i="4"/>
  <c r="C148" i="4"/>
  <c r="C145" i="4"/>
  <c r="C141" i="4"/>
  <c r="X86" i="4"/>
  <c r="C86" i="4"/>
  <c r="X67" i="4"/>
  <c r="C67" i="4"/>
  <c r="W136" i="4"/>
  <c r="V136" i="4"/>
  <c r="U136" i="4"/>
  <c r="T136" i="4"/>
  <c r="S136" i="4"/>
  <c r="R136" i="4"/>
  <c r="Q136" i="4"/>
  <c r="O136" i="4"/>
  <c r="C136" i="4"/>
  <c r="X15" i="4"/>
  <c r="W15" i="4"/>
  <c r="V15" i="4"/>
  <c r="U15" i="4"/>
  <c r="T15" i="4"/>
  <c r="S15" i="4"/>
  <c r="R15" i="4"/>
  <c r="Q15" i="4"/>
  <c r="O15" i="4"/>
  <c r="C15" i="4"/>
  <c r="X23" i="4"/>
  <c r="W23" i="4"/>
  <c r="V23" i="4"/>
  <c r="U23" i="4"/>
  <c r="T23" i="4"/>
  <c r="S23" i="4"/>
  <c r="R23" i="4"/>
  <c r="Q23" i="4"/>
  <c r="O23" i="4"/>
  <c r="C23" i="4"/>
  <c r="X54" i="4"/>
  <c r="W54" i="4"/>
  <c r="V54" i="4"/>
  <c r="U54" i="4"/>
  <c r="T54" i="4"/>
  <c r="S54" i="4"/>
  <c r="R54" i="4"/>
  <c r="Q54" i="4"/>
  <c r="O54" i="4"/>
  <c r="C54" i="4"/>
  <c r="X41" i="4"/>
  <c r="W41" i="4"/>
  <c r="V41" i="4"/>
  <c r="U41" i="4"/>
  <c r="T41" i="4"/>
  <c r="S41" i="4"/>
  <c r="R41" i="4"/>
  <c r="Q41" i="4"/>
  <c r="O41" i="4"/>
  <c r="C41" i="4"/>
  <c r="X102" i="4"/>
  <c r="C102" i="4"/>
  <c r="C127" i="4"/>
  <c r="X94" i="4"/>
  <c r="C94" i="4"/>
  <c r="X75" i="4"/>
  <c r="C75" i="4"/>
  <c r="X68" i="4"/>
  <c r="C68" i="4"/>
  <c r="C146" i="4"/>
  <c r="X80" i="4"/>
  <c r="C80" i="4"/>
  <c r="X25" i="4"/>
  <c r="W25" i="4"/>
  <c r="V25" i="4"/>
  <c r="U25" i="4"/>
  <c r="T25" i="4"/>
  <c r="S25" i="4"/>
  <c r="R25" i="4"/>
  <c r="Q25" i="4"/>
  <c r="O25" i="4"/>
  <c r="C25" i="4"/>
  <c r="X37" i="4"/>
  <c r="W37" i="4"/>
  <c r="V37" i="4"/>
  <c r="U37" i="4"/>
  <c r="T37" i="4"/>
  <c r="S37" i="4"/>
  <c r="R37" i="4"/>
  <c r="Q37" i="4"/>
  <c r="O37" i="4"/>
  <c r="C37" i="4"/>
  <c r="X55" i="4"/>
  <c r="W55" i="4"/>
  <c r="V55" i="4"/>
  <c r="U55" i="4"/>
  <c r="T55" i="4"/>
  <c r="S55" i="4"/>
  <c r="R55" i="4"/>
  <c r="Q55" i="4"/>
  <c r="O55" i="4"/>
  <c r="C55" i="4"/>
  <c r="X13" i="4"/>
  <c r="W13" i="4"/>
  <c r="V13" i="4"/>
  <c r="U13" i="4"/>
  <c r="T13" i="4"/>
  <c r="S13" i="4"/>
  <c r="R13" i="4"/>
  <c r="Q13" i="4"/>
  <c r="O13" i="4"/>
  <c r="C13" i="4"/>
  <c r="X10" i="4"/>
  <c r="W10" i="4"/>
  <c r="V10" i="4"/>
  <c r="U10" i="4"/>
  <c r="T10" i="4"/>
  <c r="S10" i="4"/>
  <c r="R10" i="4"/>
  <c r="Q10" i="4"/>
  <c r="O10" i="4"/>
  <c r="C10" i="4"/>
  <c r="X6" i="4"/>
  <c r="W6" i="4"/>
  <c r="V6" i="4"/>
  <c r="U6" i="4"/>
  <c r="T6" i="4"/>
  <c r="S6" i="4"/>
  <c r="R6" i="4"/>
  <c r="Q6" i="4"/>
  <c r="O6" i="4"/>
  <c r="C6" i="4"/>
  <c r="X71" i="4"/>
  <c r="C71" i="4"/>
  <c r="X83" i="4"/>
  <c r="C83" i="4"/>
  <c r="X39" i="4"/>
  <c r="W39" i="4"/>
  <c r="V39" i="4"/>
  <c r="U39" i="4"/>
  <c r="T39" i="4"/>
  <c r="S39" i="4"/>
  <c r="R39" i="4"/>
  <c r="Q39" i="4"/>
  <c r="O39" i="4"/>
  <c r="C39" i="4"/>
  <c r="C130" i="4"/>
  <c r="X101" i="4"/>
  <c r="C101" i="4"/>
  <c r="X81" i="4"/>
  <c r="C81" i="4"/>
  <c r="C139" i="4"/>
  <c r="C109" i="4"/>
  <c r="C125" i="4"/>
  <c r="X62" i="4"/>
  <c r="W62" i="4"/>
  <c r="V62" i="4"/>
  <c r="U62" i="4"/>
  <c r="T62" i="4"/>
  <c r="S62" i="4"/>
  <c r="R62" i="4"/>
  <c r="Q62" i="4"/>
  <c r="O62" i="4"/>
  <c r="C62" i="4"/>
  <c r="C140" i="4"/>
  <c r="X93" i="4"/>
  <c r="C93" i="4"/>
  <c r="X61" i="4"/>
  <c r="W61" i="4"/>
  <c r="V61" i="4"/>
  <c r="U61" i="4"/>
  <c r="T61" i="4"/>
  <c r="S61" i="4"/>
  <c r="R61" i="4"/>
  <c r="Q61" i="4"/>
  <c r="O61" i="4"/>
  <c r="C61" i="4"/>
  <c r="X26" i="4"/>
  <c r="W26" i="4"/>
  <c r="V26" i="4"/>
  <c r="U26" i="4"/>
  <c r="T26" i="4"/>
  <c r="S26" i="4"/>
  <c r="R26" i="4"/>
  <c r="Q26" i="4"/>
  <c r="O26" i="4"/>
  <c r="C26" i="4"/>
  <c r="X103" i="4"/>
  <c r="C103" i="4"/>
  <c r="C115" i="4"/>
  <c r="X69" i="4"/>
  <c r="W69" i="4"/>
  <c r="V69" i="4"/>
  <c r="U69" i="4"/>
  <c r="T69" i="4"/>
  <c r="S69" i="4"/>
  <c r="R69" i="4"/>
  <c r="Q69" i="4"/>
  <c r="O69" i="4"/>
  <c r="C69" i="4"/>
  <c r="X12" i="4"/>
  <c r="W12" i="4"/>
  <c r="V12" i="4"/>
  <c r="U12" i="4"/>
  <c r="T12" i="4"/>
  <c r="S12" i="4"/>
  <c r="R12" i="4"/>
  <c r="Q12" i="4"/>
  <c r="O12" i="4"/>
  <c r="C12" i="4"/>
  <c r="X110" i="4"/>
  <c r="C110" i="4"/>
  <c r="X31" i="4"/>
  <c r="W31" i="4"/>
  <c r="V31" i="4"/>
  <c r="U31" i="4"/>
  <c r="T31" i="4"/>
  <c r="S31" i="4"/>
  <c r="R31" i="4"/>
  <c r="Q31" i="4"/>
  <c r="O31" i="4"/>
  <c r="C31" i="4"/>
  <c r="X30" i="4"/>
  <c r="W30" i="4"/>
  <c r="V30" i="4"/>
  <c r="U30" i="4"/>
  <c r="T30" i="4"/>
  <c r="S30" i="4"/>
  <c r="R30" i="4"/>
  <c r="Q30" i="4"/>
  <c r="O30" i="4"/>
  <c r="C30" i="4"/>
  <c r="X99" i="4"/>
  <c r="C99" i="4"/>
  <c r="X22" i="4"/>
  <c r="W22" i="4"/>
  <c r="V22" i="4"/>
  <c r="U22" i="4"/>
  <c r="T22" i="4"/>
  <c r="S22" i="4"/>
  <c r="R22" i="4"/>
  <c r="Q22" i="4"/>
  <c r="O22" i="4"/>
  <c r="C22" i="4"/>
  <c r="X107" i="4"/>
  <c r="C107" i="4"/>
  <c r="X106" i="4"/>
  <c r="C106" i="4"/>
  <c r="C132" i="4"/>
  <c r="X95" i="4"/>
  <c r="C95" i="4"/>
  <c r="C131" i="4"/>
  <c r="C126" i="4"/>
  <c r="C171" i="4"/>
  <c r="X100" i="4"/>
  <c r="C100" i="4"/>
  <c r="X88" i="4"/>
  <c r="C88" i="4"/>
  <c r="X98" i="4"/>
  <c r="C98" i="4"/>
  <c r="X43" i="4"/>
  <c r="W43" i="4"/>
  <c r="V43" i="4"/>
  <c r="U43" i="4"/>
  <c r="T43" i="4"/>
  <c r="S43" i="4"/>
  <c r="R43" i="4"/>
  <c r="Q43" i="4"/>
  <c r="O43" i="4"/>
  <c r="C43" i="4"/>
  <c r="X28" i="4"/>
  <c r="W28" i="4"/>
  <c r="V28" i="4"/>
  <c r="U28" i="4"/>
  <c r="T28" i="4"/>
  <c r="S28" i="4"/>
  <c r="R28" i="4"/>
  <c r="Q28" i="4"/>
  <c r="O28" i="4"/>
  <c r="C28" i="4"/>
  <c r="C124" i="4"/>
  <c r="X29" i="4"/>
  <c r="W29" i="4"/>
  <c r="V29" i="4"/>
  <c r="U29" i="4"/>
  <c r="T29" i="4"/>
  <c r="S29" i="4"/>
  <c r="R29" i="4"/>
  <c r="Q29" i="4"/>
  <c r="O29" i="4"/>
  <c r="C29" i="4"/>
  <c r="X85" i="4"/>
  <c r="C85" i="4"/>
  <c r="X105" i="4"/>
  <c r="C105" i="4"/>
  <c r="C155" i="4"/>
  <c r="X66" i="4"/>
  <c r="C66" i="4"/>
  <c r="X33" i="4"/>
  <c r="W33" i="4"/>
  <c r="V33" i="4"/>
  <c r="U33" i="4"/>
  <c r="T33" i="4"/>
  <c r="S33" i="4"/>
  <c r="R33" i="4"/>
  <c r="Q33" i="4"/>
  <c r="O33" i="4"/>
  <c r="C33" i="4"/>
  <c r="C142" i="4"/>
  <c r="X72" i="4"/>
  <c r="C72" i="4"/>
  <c r="C134" i="4"/>
  <c r="X40" i="4"/>
  <c r="W40" i="4"/>
  <c r="V40" i="4"/>
  <c r="U40" i="4"/>
  <c r="T40" i="4"/>
  <c r="S40" i="4"/>
  <c r="R40" i="4"/>
  <c r="Q40" i="4"/>
  <c r="O40" i="4"/>
  <c r="C40" i="4"/>
  <c r="C164" i="4"/>
  <c r="X27" i="4"/>
  <c r="W27" i="4"/>
  <c r="V27" i="4"/>
  <c r="U27" i="4"/>
  <c r="T27" i="4"/>
  <c r="S27" i="4"/>
  <c r="R27" i="4"/>
  <c r="Q27" i="4"/>
  <c r="O27" i="4"/>
  <c r="C27" i="4"/>
  <c r="X47" i="4"/>
  <c r="W47" i="4"/>
  <c r="V47" i="4"/>
  <c r="U47" i="4"/>
  <c r="T47" i="4"/>
  <c r="S47" i="4"/>
  <c r="R47" i="4"/>
  <c r="Q47" i="4"/>
  <c r="O47" i="4"/>
  <c r="C47" i="4"/>
  <c r="X63" i="4"/>
  <c r="C63" i="4"/>
  <c r="X96" i="4"/>
  <c r="C96" i="4"/>
  <c r="X78" i="4"/>
  <c r="C78" i="4"/>
  <c r="C158" i="4"/>
  <c r="C147" i="4"/>
  <c r="X82" i="4"/>
  <c r="C82" i="4"/>
  <c r="X5" i="4"/>
  <c r="W5" i="4"/>
  <c r="V5" i="4"/>
  <c r="U5" i="4"/>
  <c r="T5" i="4"/>
  <c r="S5" i="4"/>
  <c r="R5" i="4"/>
  <c r="Q5" i="4"/>
  <c r="O5" i="4"/>
  <c r="C5" i="4"/>
  <c r="X32" i="4"/>
  <c r="W32" i="4"/>
  <c r="V32" i="4"/>
  <c r="U32" i="4"/>
  <c r="T32" i="4"/>
  <c r="S32" i="4"/>
  <c r="R32" i="4"/>
  <c r="Q32" i="4"/>
  <c r="O32" i="4"/>
  <c r="C32" i="4"/>
  <c r="X234" i="4"/>
  <c r="C234" i="4"/>
  <c r="X70" i="4"/>
  <c r="C70" i="4"/>
  <c r="W135" i="4"/>
  <c r="V135" i="4"/>
  <c r="U135" i="4"/>
  <c r="T135" i="4"/>
  <c r="S135" i="4"/>
  <c r="R135" i="4"/>
  <c r="Q135" i="4"/>
  <c r="O135" i="4"/>
  <c r="C135" i="4"/>
  <c r="C165" i="4"/>
  <c r="C34" i="4"/>
  <c r="C129" i="4"/>
  <c r="X65" i="4"/>
  <c r="C65" i="4"/>
  <c r="X79" i="4"/>
  <c r="C79" i="4"/>
  <c r="X76" i="4"/>
  <c r="C76" i="4"/>
  <c r="X77" i="4"/>
  <c r="C77" i="4"/>
  <c r="X52" i="4"/>
  <c r="W52" i="4"/>
  <c r="V52" i="4"/>
  <c r="U52" i="4"/>
  <c r="T52" i="4"/>
  <c r="S52" i="4"/>
  <c r="R52" i="4"/>
  <c r="Q52" i="4"/>
  <c r="O52" i="4"/>
  <c r="C52" i="4"/>
  <c r="X51" i="4"/>
  <c r="W51" i="4"/>
  <c r="V51" i="4"/>
  <c r="U51" i="4"/>
  <c r="T51" i="4"/>
  <c r="S51" i="4"/>
  <c r="R51" i="4"/>
  <c r="Q51" i="4"/>
  <c r="O51" i="4"/>
  <c r="C51" i="4"/>
  <c r="X56" i="4"/>
  <c r="W56" i="4"/>
  <c r="V56" i="4"/>
  <c r="U56" i="4"/>
  <c r="T56" i="4"/>
  <c r="S56" i="4"/>
  <c r="R56" i="4"/>
  <c r="Q56" i="4"/>
  <c r="O56" i="4"/>
  <c r="C56" i="4"/>
  <c r="X64" i="4"/>
  <c r="C64" i="4"/>
  <c r="X108" i="4"/>
  <c r="C108" i="4"/>
  <c r="C137" i="4"/>
  <c r="C143" i="4"/>
  <c r="X21" i="4"/>
  <c r="W21" i="4"/>
  <c r="V21" i="4"/>
  <c r="U21" i="4"/>
  <c r="T21" i="4"/>
  <c r="S21" i="4"/>
  <c r="R21" i="4"/>
  <c r="Q21" i="4"/>
  <c r="O21" i="4"/>
  <c r="C21" i="4"/>
  <c r="C133" i="4"/>
  <c r="X92" i="4"/>
  <c r="C92" i="4"/>
  <c r="X46" i="4"/>
  <c r="W46" i="4"/>
  <c r="V46" i="4"/>
  <c r="U46" i="4"/>
  <c r="T46" i="4"/>
  <c r="S46" i="4"/>
  <c r="R46" i="4"/>
  <c r="Q46" i="4"/>
  <c r="O46" i="4"/>
  <c r="C46" i="4"/>
  <c r="X45" i="4"/>
  <c r="W45" i="4"/>
  <c r="V45" i="4"/>
  <c r="U45" i="4"/>
  <c r="T45" i="4"/>
  <c r="S45" i="4"/>
  <c r="R45" i="4"/>
  <c r="Q45" i="4"/>
  <c r="O45" i="4"/>
  <c r="C45" i="4"/>
  <c r="X44" i="4"/>
  <c r="W44" i="4"/>
  <c r="V44" i="4"/>
  <c r="U44" i="4"/>
  <c r="T44" i="4"/>
  <c r="S44" i="4"/>
  <c r="R44" i="4"/>
  <c r="Q44" i="4"/>
  <c r="O44" i="4"/>
  <c r="C44" i="4"/>
  <c r="X16" i="4"/>
  <c r="W16" i="4"/>
  <c r="V16" i="4"/>
  <c r="U16" i="4"/>
  <c r="T16" i="4"/>
  <c r="S16" i="4"/>
  <c r="R16" i="4"/>
  <c r="Q16" i="4"/>
  <c r="C16" i="4"/>
  <c r="X42" i="4"/>
  <c r="W42" i="4"/>
  <c r="V42" i="4"/>
  <c r="U42" i="4"/>
  <c r="T42" i="4"/>
  <c r="S42" i="4"/>
  <c r="R42" i="4"/>
  <c r="Q42" i="4"/>
  <c r="O42" i="4"/>
  <c r="C42" i="4"/>
  <c r="X57" i="4"/>
  <c r="W57" i="4"/>
  <c r="V57" i="4"/>
  <c r="U57" i="4"/>
  <c r="T57" i="4"/>
  <c r="S57" i="4"/>
  <c r="R57" i="4"/>
  <c r="Q57" i="4"/>
  <c r="O57" i="4"/>
  <c r="C57" i="4"/>
  <c r="X104" i="4"/>
  <c r="C104" i="4"/>
  <c r="X20" i="4"/>
  <c r="W20" i="4"/>
  <c r="V20" i="4"/>
  <c r="U20" i="4"/>
  <c r="T20" i="4"/>
  <c r="S20" i="4"/>
  <c r="R20" i="4"/>
  <c r="Q20" i="4"/>
  <c r="O20" i="4"/>
  <c r="C20" i="4"/>
  <c r="X74" i="4"/>
  <c r="C74" i="4"/>
  <c r="X73" i="4"/>
  <c r="C73" i="4"/>
  <c r="X90" i="4"/>
  <c r="C90" i="4"/>
  <c r="X112" i="4"/>
  <c r="W112" i="4"/>
  <c r="V112" i="4"/>
  <c r="U112" i="4"/>
  <c r="T112" i="4"/>
  <c r="S112" i="4"/>
  <c r="R112" i="4"/>
  <c r="Q112" i="4"/>
  <c r="O112" i="4"/>
  <c r="C112" i="4"/>
  <c r="X84" i="4"/>
  <c r="C84" i="4"/>
  <c r="X36" i="4"/>
  <c r="W36" i="4"/>
  <c r="V36" i="4"/>
  <c r="U36" i="4"/>
  <c r="T36" i="4"/>
  <c r="S36" i="4"/>
  <c r="R36" i="4"/>
  <c r="Q36" i="4"/>
  <c r="O36" i="4"/>
  <c r="C36" i="4"/>
  <c r="C153" i="4"/>
  <c r="C144" i="4"/>
  <c r="X24" i="4"/>
  <c r="W24" i="4"/>
  <c r="V24" i="4"/>
  <c r="U24" i="4"/>
  <c r="T24" i="4"/>
  <c r="S24" i="4"/>
  <c r="R24" i="4"/>
  <c r="Q24" i="4"/>
  <c r="O24" i="4"/>
  <c r="C24" i="4"/>
  <c r="X49" i="4"/>
  <c r="W49" i="4"/>
  <c r="V49" i="4"/>
  <c r="U49" i="4"/>
  <c r="T49" i="4"/>
  <c r="S49" i="4"/>
  <c r="R49" i="4"/>
  <c r="Q49" i="4"/>
  <c r="O49" i="4"/>
  <c r="C49" i="4"/>
  <c r="W128" i="4"/>
  <c r="V128" i="4"/>
  <c r="U128" i="4"/>
  <c r="T128" i="4"/>
  <c r="S128" i="4"/>
  <c r="R128" i="4"/>
  <c r="Q128" i="4"/>
  <c r="O128" i="4"/>
  <c r="C128" i="4"/>
  <c r="X50" i="4"/>
  <c r="W50" i="4"/>
  <c r="V50" i="4"/>
  <c r="U50" i="4"/>
  <c r="T50" i="4"/>
  <c r="S50" i="4"/>
  <c r="R50" i="4"/>
  <c r="Q50" i="4"/>
  <c r="O50" i="4"/>
  <c r="C50" i="4"/>
  <c r="X59" i="4"/>
  <c r="W59" i="4"/>
  <c r="V59" i="4"/>
  <c r="U59" i="4"/>
  <c r="T59" i="4"/>
  <c r="S59" i="4"/>
  <c r="R59" i="4"/>
  <c r="Q59" i="4"/>
  <c r="O59" i="4"/>
  <c r="C59" i="4"/>
  <c r="C169" i="4"/>
  <c r="C150" i="4"/>
  <c r="X53" i="4"/>
  <c r="W53" i="4"/>
  <c r="V53" i="4"/>
  <c r="U53" i="4"/>
  <c r="T53" i="4"/>
  <c r="S53" i="4"/>
  <c r="R53" i="4"/>
  <c r="Q53" i="4"/>
  <c r="O53" i="4"/>
  <c r="C53" i="4"/>
  <c r="X19" i="4"/>
  <c r="W19" i="4"/>
  <c r="U19" i="4"/>
  <c r="T19" i="4"/>
  <c r="S19" i="4"/>
  <c r="R19" i="4"/>
  <c r="Q19" i="4"/>
  <c r="K19" i="4"/>
  <c r="K2" i="4" s="1"/>
  <c r="C19" i="4"/>
  <c r="C138" i="4"/>
  <c r="X89" i="4"/>
  <c r="C89" i="4"/>
  <c r="C163" i="4"/>
  <c r="X97" i="4"/>
  <c r="C97" i="4"/>
  <c r="X48" i="4"/>
  <c r="C48" i="4"/>
  <c r="X4" i="4"/>
  <c r="W4" i="4"/>
  <c r="V4" i="4"/>
  <c r="U4" i="4"/>
  <c r="T4" i="4"/>
  <c r="S4" i="4"/>
  <c r="R4" i="4"/>
  <c r="Q4" i="4"/>
  <c r="O4" i="4"/>
  <c r="C4" i="4"/>
  <c r="X11" i="4"/>
  <c r="W11" i="4"/>
  <c r="V11" i="4"/>
  <c r="U11" i="4"/>
  <c r="T11" i="4"/>
  <c r="S11" i="4"/>
  <c r="R11" i="4"/>
  <c r="Q11" i="4"/>
  <c r="O11" i="4"/>
  <c r="C11" i="4"/>
  <c r="X87" i="4"/>
  <c r="C87" i="4"/>
  <c r="X91" i="4"/>
  <c r="C91" i="4"/>
  <c r="N2" i="4"/>
  <c r="N1" i="4"/>
  <c r="E109" i="2"/>
  <c r="C108" i="2"/>
  <c r="E107" i="2"/>
  <c r="D107" i="2"/>
  <c r="C106" i="2"/>
  <c r="K98" i="2"/>
  <c r="J98" i="2"/>
  <c r="I98" i="2"/>
  <c r="H98" i="2"/>
  <c r="G98" i="2"/>
  <c r="F98" i="2"/>
  <c r="E98" i="2"/>
  <c r="D98" i="2"/>
  <c r="K97" i="2"/>
  <c r="J97" i="2"/>
  <c r="I97" i="2"/>
  <c r="H97" i="2"/>
  <c r="G97" i="2"/>
  <c r="F97" i="2"/>
  <c r="E97" i="2"/>
  <c r="D97" i="2"/>
  <c r="K96" i="2"/>
  <c r="J96" i="2"/>
  <c r="I96" i="2"/>
  <c r="H96" i="2"/>
  <c r="G96" i="2"/>
  <c r="F96" i="2"/>
  <c r="E96" i="2"/>
  <c r="D96" i="2"/>
  <c r="K95" i="2"/>
  <c r="K100" i="2" s="1"/>
  <c r="L13" i="1" s="1"/>
  <c r="J95" i="2"/>
  <c r="J100" i="2" s="1"/>
  <c r="K13" i="1" s="1"/>
  <c r="I95" i="2"/>
  <c r="H95" i="2"/>
  <c r="H100" i="2" s="1"/>
  <c r="I13" i="1" s="1"/>
  <c r="G95" i="2"/>
  <c r="F95" i="2"/>
  <c r="F100" i="2" s="1"/>
  <c r="G13" i="1" s="1"/>
  <c r="E95" i="2"/>
  <c r="E100" i="2" s="1"/>
  <c r="F13" i="1" s="1"/>
  <c r="D95" i="2"/>
  <c r="D100" i="2" s="1"/>
  <c r="E13" i="1" s="1"/>
  <c r="O82" i="2"/>
  <c r="BE69" i="2"/>
  <c r="P68" i="2"/>
  <c r="O68" i="2"/>
  <c r="K68" i="2"/>
  <c r="J68" i="2"/>
  <c r="P67" i="2"/>
  <c r="O67" i="2"/>
  <c r="K67" i="2"/>
  <c r="J67" i="2"/>
  <c r="B4" i="1"/>
  <c r="AK37" i="5" l="1"/>
  <c r="L155" i="5"/>
  <c r="AJ8" i="5"/>
  <c r="J155" i="5"/>
  <c r="J5" i="5" s="1"/>
  <c r="AK8" i="5"/>
  <c r="K155" i="5"/>
  <c r="J80" i="2"/>
  <c r="BE71" i="2"/>
  <c r="AO69" i="2"/>
  <c r="F80" i="2" s="1"/>
  <c r="AK47" i="5"/>
  <c r="AJ22" i="5"/>
  <c r="G69" i="2"/>
  <c r="AH69" i="2" s="1"/>
  <c r="E79" i="2" s="1"/>
  <c r="AK69" i="2"/>
  <c r="AK70" i="2" s="1"/>
  <c r="BA69" i="2"/>
  <c r="I80" i="2" s="1"/>
  <c r="BM69" i="2"/>
  <c r="K1" i="4"/>
  <c r="AG69" i="2"/>
  <c r="AG70" i="2" s="1"/>
  <c r="AC69" i="2"/>
  <c r="D43" i="1" s="1"/>
  <c r="AH5" i="5"/>
  <c r="AJ5" i="5" s="1"/>
  <c r="N96" i="2"/>
  <c r="N97" i="2"/>
  <c r="B100" i="2"/>
  <c r="N95" i="2"/>
  <c r="N98" i="2"/>
  <c r="AQ68" i="2"/>
  <c r="AQ67" i="2"/>
  <c r="AE68" i="2"/>
  <c r="AE67" i="2"/>
  <c r="Y69" i="2"/>
  <c r="M5" i="5"/>
  <c r="BQ69" i="2"/>
  <c r="BI69" i="2"/>
  <c r="AS69" i="2"/>
  <c r="G80" i="2" s="1"/>
  <c r="O19" i="4"/>
  <c r="O1" i="4" s="1"/>
  <c r="B19" i="1"/>
  <c r="B20" i="1"/>
  <c r="F68" i="2"/>
  <c r="K2" i="2" s="1"/>
  <c r="K43" i="1"/>
  <c r="I85" i="2"/>
  <c r="I90" i="2" s="1"/>
  <c r="J10" i="1" s="1"/>
  <c r="G43" i="1"/>
  <c r="C85" i="2"/>
  <c r="C90" i="2" s="1"/>
  <c r="D10" i="1" s="1"/>
  <c r="K5" i="5"/>
  <c r="Y5" i="5"/>
  <c r="X5" i="5"/>
  <c r="G101" i="2"/>
  <c r="H14" i="1" s="1"/>
  <c r="F101" i="2"/>
  <c r="G14" i="1" s="1"/>
  <c r="I43" i="1"/>
  <c r="H80" i="2"/>
  <c r="D101" i="2"/>
  <c r="E14" i="1" s="1"/>
  <c r="G88" i="2"/>
  <c r="I88" i="2"/>
  <c r="J88" i="2"/>
  <c r="J87" i="2"/>
  <c r="D88" i="2"/>
  <c r="I99" i="2"/>
  <c r="E99" i="2"/>
  <c r="H87" i="2"/>
  <c r="I86" i="2"/>
  <c r="I87" i="2"/>
  <c r="C99" i="2"/>
  <c r="F67" i="2"/>
  <c r="H99" i="2"/>
  <c r="K86" i="2"/>
  <c r="C100" i="2"/>
  <c r="D13" i="1" s="1"/>
  <c r="C87" i="2"/>
  <c r="H86" i="2"/>
  <c r="G87" i="2"/>
  <c r="F88" i="2"/>
  <c r="F86" i="2"/>
  <c r="H88" i="2"/>
  <c r="G86" i="2"/>
  <c r="C86" i="2"/>
  <c r="K88" i="2"/>
  <c r="B101" i="2"/>
  <c r="C14" i="1" s="1"/>
  <c r="J101" i="2"/>
  <c r="K14" i="1" s="1"/>
  <c r="E87" i="2"/>
  <c r="F87" i="2"/>
  <c r="I100" i="2"/>
  <c r="J13" i="1" s="1"/>
  <c r="E28" i="1" s="1"/>
  <c r="I101" i="2"/>
  <c r="J14" i="1" s="1"/>
  <c r="E101" i="2"/>
  <c r="F14" i="1" s="1"/>
  <c r="D99" i="2"/>
  <c r="G99" i="2"/>
  <c r="C101" i="2"/>
  <c r="D14" i="1" s="1"/>
  <c r="D87" i="2"/>
  <c r="D86" i="2"/>
  <c r="E86" i="2"/>
  <c r="J86" i="2"/>
  <c r="C88" i="2"/>
  <c r="K87" i="2"/>
  <c r="E88" i="2"/>
  <c r="H101" i="2"/>
  <c r="I14" i="1" s="1"/>
  <c r="B99" i="2"/>
  <c r="J99" i="2"/>
  <c r="K99" i="2"/>
  <c r="F99" i="2"/>
  <c r="K101" i="2"/>
  <c r="L14" i="1" s="1"/>
  <c r="G100" i="2"/>
  <c r="H13" i="1" s="1"/>
  <c r="V19" i="4"/>
  <c r="V1" i="4" s="1"/>
  <c r="T2" i="4"/>
  <c r="U2" i="4"/>
  <c r="W2" i="4"/>
  <c r="T1" i="4"/>
  <c r="Q2" i="4"/>
  <c r="U1" i="4"/>
  <c r="X1" i="4"/>
  <c r="S1" i="4"/>
  <c r="Q1" i="4"/>
  <c r="R2" i="4"/>
  <c r="R1" i="4"/>
  <c r="S2" i="4"/>
  <c r="W1" i="4"/>
  <c r="X2" i="4"/>
  <c r="C107" i="2"/>
  <c r="AK155" i="5" l="1"/>
  <c r="AJ155" i="5"/>
  <c r="L5" i="5"/>
  <c r="V69" i="2"/>
  <c r="K80" i="2"/>
  <c r="BI71" i="2"/>
  <c r="M80" i="2"/>
  <c r="BQ71" i="2"/>
  <c r="M43" i="1"/>
  <c r="BM71" i="2"/>
  <c r="J43" i="1"/>
  <c r="F43" i="1"/>
  <c r="F35" i="1" s="1"/>
  <c r="F8" i="1" s="1"/>
  <c r="AK71" i="2"/>
  <c r="E78" i="2" s="1"/>
  <c r="F45" i="1" s="1"/>
  <c r="F46" i="1" s="1"/>
  <c r="D80" i="2"/>
  <c r="AG71" i="2"/>
  <c r="D78" i="2" s="1"/>
  <c r="E45" i="1" s="1"/>
  <c r="E43" i="1"/>
  <c r="E80" i="2"/>
  <c r="C80" i="2"/>
  <c r="Y70" i="2"/>
  <c r="Y71" i="2"/>
  <c r="M99" i="2"/>
  <c r="N99" i="2" s="1"/>
  <c r="C13" i="1"/>
  <c r="C28" i="1" s="1"/>
  <c r="B80" i="2"/>
  <c r="C43" i="1"/>
  <c r="H43" i="1"/>
  <c r="L43" i="1"/>
  <c r="N43" i="1"/>
  <c r="F69" i="2"/>
  <c r="G105" i="2"/>
  <c r="G106" i="2" s="1"/>
  <c r="O2" i="4"/>
  <c r="V2" i="4"/>
  <c r="G85" i="2"/>
  <c r="G90" i="2" s="1"/>
  <c r="H10" i="1" s="1"/>
  <c r="J85" i="2"/>
  <c r="J90" i="2" s="1"/>
  <c r="K10" i="1" s="1"/>
  <c r="F85" i="2"/>
  <c r="F90" i="2" s="1"/>
  <c r="G10" i="1" s="1"/>
  <c r="D85" i="2"/>
  <c r="D90" i="2" s="1"/>
  <c r="E10" i="1" s="1"/>
  <c r="K85" i="2"/>
  <c r="K90" i="2" s="1"/>
  <c r="L10" i="1" s="1"/>
  <c r="H85" i="2"/>
  <c r="H90" i="2" s="1"/>
  <c r="I10" i="1" s="1"/>
  <c r="AX69" i="2"/>
  <c r="BB69" i="2"/>
  <c r="AL69" i="2"/>
  <c r="C2" i="2"/>
  <c r="D29" i="1"/>
  <c r="C29" i="1"/>
  <c r="F91" i="2"/>
  <c r="G11" i="1" s="1"/>
  <c r="E91" i="2"/>
  <c r="F11" i="1" s="1"/>
  <c r="D91" i="2"/>
  <c r="E11" i="1" s="1"/>
  <c r="AP69" i="2"/>
  <c r="G79" i="2" s="1"/>
  <c r="AD69" i="2"/>
  <c r="D79" i="2" s="1"/>
  <c r="BJ69" i="2"/>
  <c r="BN69" i="2"/>
  <c r="AT69" i="2"/>
  <c r="BF69" i="2"/>
  <c r="B79" i="2"/>
  <c r="Z69" i="2"/>
  <c r="C79" i="2" s="1"/>
  <c r="G91" i="2"/>
  <c r="H11" i="1" s="1"/>
  <c r="H91" i="2"/>
  <c r="I11" i="1" s="1"/>
  <c r="I91" i="2"/>
  <c r="J11" i="1" s="1"/>
  <c r="J91" i="2"/>
  <c r="K11" i="1" s="1"/>
  <c r="E29" i="1"/>
  <c r="C91" i="2"/>
  <c r="D11" i="1" s="1"/>
  <c r="I89" i="2"/>
  <c r="J7" i="1" s="1"/>
  <c r="K91" i="2"/>
  <c r="L11" i="1" s="1"/>
  <c r="C89" i="2"/>
  <c r="D7" i="1" s="1"/>
  <c r="D28" i="1"/>
  <c r="AO70" i="2"/>
  <c r="AC68" i="2"/>
  <c r="AC67" i="2"/>
  <c r="D77" i="2"/>
  <c r="I77" i="2"/>
  <c r="G77" i="2"/>
  <c r="H77" i="2"/>
  <c r="K77" i="2"/>
  <c r="F77" i="2"/>
  <c r="J77" i="2"/>
  <c r="C77" i="2"/>
  <c r="BL71" i="2" l="1"/>
  <c r="BM70" i="2"/>
  <c r="J79" i="2"/>
  <c r="BC71" i="2"/>
  <c r="K78" i="2"/>
  <c r="L45" i="1" s="1"/>
  <c r="L46" i="1" s="1"/>
  <c r="BH71" i="2"/>
  <c r="L42" i="1" s="1"/>
  <c r="L35" i="1" s="1"/>
  <c r="BI70" i="2"/>
  <c r="AW70" i="2"/>
  <c r="AW71" i="2"/>
  <c r="H78" i="2" s="1"/>
  <c r="I45" i="1" s="1"/>
  <c r="I46" i="1" s="1"/>
  <c r="AV71" i="2"/>
  <c r="I42" i="1" s="1"/>
  <c r="I35" i="1" s="1"/>
  <c r="I8" i="1" s="1"/>
  <c r="I79" i="2"/>
  <c r="AY71" i="2"/>
  <c r="BA70" i="2"/>
  <c r="BA71" i="2"/>
  <c r="I78" i="2" s="1"/>
  <c r="J45" i="1" s="1"/>
  <c r="J46" i="1" s="1"/>
  <c r="AZ71" i="2"/>
  <c r="J42" i="1" s="1"/>
  <c r="J35" i="1" s="1"/>
  <c r="J8" i="1" s="1"/>
  <c r="K79" i="2"/>
  <c r="BG71" i="2"/>
  <c r="M78" i="2"/>
  <c r="BP71" i="2"/>
  <c r="N42" i="1" s="1"/>
  <c r="N35" i="1" s="1"/>
  <c r="N8" i="1" s="1"/>
  <c r="BQ70" i="2"/>
  <c r="H79" i="2"/>
  <c r="AU71" i="2"/>
  <c r="BE70" i="2"/>
  <c r="BD71" i="2"/>
  <c r="K42" i="1" s="1"/>
  <c r="K35" i="1" s="1"/>
  <c r="L8" i="1" s="1"/>
  <c r="J78" i="2"/>
  <c r="K45" i="1" s="1"/>
  <c r="K46" i="1" s="1"/>
  <c r="M79" i="2"/>
  <c r="BO71" i="2"/>
  <c r="AQ71" i="2"/>
  <c r="AS70" i="2"/>
  <c r="AR71" i="2"/>
  <c r="H42" i="1" s="1"/>
  <c r="H35" i="1" s="1"/>
  <c r="H8" i="1" s="1"/>
  <c r="AS71" i="2"/>
  <c r="G78" i="2" s="1"/>
  <c r="H45" i="1" s="1"/>
  <c r="H46" i="1" s="1"/>
  <c r="F79" i="2"/>
  <c r="AM71" i="2"/>
  <c r="AO71" i="2"/>
  <c r="F78" i="2" s="1"/>
  <c r="G45" i="1" s="1"/>
  <c r="G46" i="1" s="1"/>
  <c r="AN71" i="2"/>
  <c r="G42" i="1" s="1"/>
  <c r="G35" i="1" s="1"/>
  <c r="G8" i="1" s="1"/>
  <c r="AB71" i="2"/>
  <c r="D42" i="1" s="1"/>
  <c r="AC70" i="2"/>
  <c r="N80" i="2"/>
  <c r="AC71" i="2"/>
  <c r="C78" i="2" s="1"/>
  <c r="D45" i="1" s="1"/>
  <c r="D46" i="1" s="1"/>
  <c r="C35" i="1"/>
  <c r="B43" i="1"/>
  <c r="N101" i="2"/>
  <c r="N100" i="2"/>
  <c r="BK71" i="2"/>
  <c r="L79" i="2"/>
  <c r="C3" i="2"/>
  <c r="B78" i="2"/>
  <c r="AA71" i="2"/>
  <c r="AE71" i="2"/>
  <c r="G89" i="2"/>
  <c r="H7" i="1" s="1"/>
  <c r="E25" i="1"/>
  <c r="F89" i="2"/>
  <c r="G7" i="1" s="1"/>
  <c r="J89" i="2"/>
  <c r="K7" i="1" s="1"/>
  <c r="K89" i="2"/>
  <c r="L7" i="1" s="1"/>
  <c r="D89" i="2"/>
  <c r="E7" i="1" s="1"/>
  <c r="H89" i="2"/>
  <c r="I7" i="1" s="1"/>
  <c r="D26" i="1"/>
  <c r="E26" i="1"/>
  <c r="E46" i="1"/>
  <c r="E8" i="1"/>
  <c r="H55" i="1"/>
  <c r="AB75" i="2" l="1"/>
  <c r="X78" i="2" s="1"/>
  <c r="N79" i="2"/>
  <c r="M42" i="1"/>
  <c r="M35" i="1" s="1"/>
  <c r="M8" i="1" s="1"/>
  <c r="F23" i="1" s="1"/>
  <c r="L78" i="2"/>
  <c r="M45" i="1" s="1"/>
  <c r="M46" i="1" s="1"/>
  <c r="K8" i="1"/>
  <c r="E23" i="1" s="1"/>
  <c r="D23" i="1"/>
  <c r="D8" i="1"/>
  <c r="N45" i="1"/>
  <c r="F29" i="1"/>
  <c r="B29" i="1" s="1"/>
  <c r="B14" i="1"/>
  <c r="B13" i="1"/>
  <c r="F28" i="1"/>
  <c r="B28" i="1" s="1"/>
  <c r="C45" i="1"/>
  <c r="BU68" i="2"/>
  <c r="BU67" i="2"/>
  <c r="F108" i="2"/>
  <c r="B108" i="2"/>
  <c r="B106" i="2"/>
  <c r="F106" i="2"/>
  <c r="B109" i="2"/>
  <c r="E22" i="1"/>
  <c r="D35" i="1"/>
  <c r="B3" i="2"/>
  <c r="B42" i="1" l="1"/>
  <c r="N78" i="2"/>
  <c r="N46" i="1"/>
  <c r="B45" i="1"/>
  <c r="B57" i="1" s="1"/>
  <c r="E49" i="1"/>
  <c r="E47" i="1" s="1"/>
  <c r="J49" i="1"/>
  <c r="J47" i="1" s="1"/>
  <c r="G49" i="1"/>
  <c r="G47" i="1" s="1"/>
  <c r="L49" i="1"/>
  <c r="L47" i="1" s="1"/>
  <c r="H49" i="1"/>
  <c r="H47" i="1" s="1"/>
  <c r="F49" i="1"/>
  <c r="F47" i="1" s="1"/>
  <c r="C46" i="1"/>
  <c r="C8" i="1"/>
  <c r="B8" i="1" s="1"/>
  <c r="C49" i="1"/>
  <c r="C47" i="1" s="1"/>
  <c r="D49" i="1"/>
  <c r="D47" i="1" s="1"/>
  <c r="I49" i="1"/>
  <c r="I47" i="1" s="1"/>
  <c r="N49" i="1"/>
  <c r="N47" i="1" s="1"/>
  <c r="M49" i="1"/>
  <c r="M47" i="1" s="1"/>
  <c r="K49" i="1"/>
  <c r="K47" i="1" s="1"/>
  <c r="E35" i="1"/>
  <c r="B35" i="1" s="1"/>
  <c r="B46" i="1" l="1"/>
  <c r="E55" i="1"/>
  <c r="E57" i="1" s="1"/>
  <c r="C23" i="1"/>
  <c r="B23" i="1" s="1"/>
  <c r="K55" i="1"/>
  <c r="K59" i="1" l="1"/>
  <c r="K57" i="1"/>
  <c r="E106" i="2" l="1"/>
  <c r="E105" i="2" l="1"/>
  <c r="E108" i="2"/>
  <c r="B87" i="2" l="1"/>
  <c r="N87" i="2" s="1"/>
  <c r="D108" i="2" l="1"/>
  <c r="H108" i="2" s="1"/>
  <c r="C105" i="2" l="1"/>
  <c r="C109" i="2"/>
  <c r="F107" i="2" l="1"/>
  <c r="D109" i="2" l="1"/>
  <c r="B86" i="2"/>
  <c r="N86" i="2" s="1"/>
  <c r="D106" i="2" l="1"/>
  <c r="H106" i="2" s="1"/>
  <c r="D105" i="2"/>
  <c r="B85" i="2" l="1"/>
  <c r="B90" i="2" l="1"/>
  <c r="C10" i="1" s="1"/>
  <c r="C25" i="1" l="1"/>
  <c r="F109" i="2" l="1"/>
  <c r="H109" i="2" s="1"/>
  <c r="F105" i="2"/>
  <c r="B88" i="2"/>
  <c r="N88" i="2" s="1"/>
  <c r="B77" i="2"/>
  <c r="W71" i="2"/>
  <c r="B91" i="2" l="1"/>
  <c r="C11" i="1" s="1"/>
  <c r="B89" i="2"/>
  <c r="C7" i="1" s="1"/>
  <c r="M10" i="1" l="1"/>
  <c r="N91" i="2"/>
  <c r="N11" i="1" s="1"/>
  <c r="M11" i="1"/>
  <c r="C26" i="1"/>
  <c r="C22" i="1"/>
  <c r="E77" i="2"/>
  <c r="N77" i="2" s="1"/>
  <c r="E85" i="2"/>
  <c r="B11" i="1" l="1"/>
  <c r="E89" i="2"/>
  <c r="F7" i="1" s="1"/>
  <c r="D22" i="1" s="1"/>
  <c r="N85" i="2"/>
  <c r="F26" i="1"/>
  <c r="B26" i="1" s="1"/>
  <c r="B105" i="2"/>
  <c r="H105" i="2" s="1"/>
  <c r="B107" i="2"/>
  <c r="H107" i="2" s="1"/>
  <c r="BT67" i="2"/>
  <c r="BW67" i="2" s="1"/>
  <c r="BT68" i="2"/>
  <c r="E90" i="2"/>
  <c r="AI71" i="2"/>
  <c r="F10" i="1" l="1"/>
  <c r="D25" i="1" s="1"/>
  <c r="N90" i="2"/>
  <c r="BW68" i="2"/>
  <c r="A2" i="2"/>
  <c r="A4" i="2" s="1"/>
  <c r="BS68" i="2"/>
  <c r="BS67" i="2"/>
  <c r="BV68" i="2"/>
  <c r="BV67" i="2"/>
  <c r="N10" i="1" l="1"/>
  <c r="N89" i="2"/>
  <c r="N7" i="1" s="1"/>
  <c r="M7" i="1" l="1"/>
  <c r="F22" i="1" s="1"/>
  <c r="B22" i="1" s="1"/>
  <c r="B10" i="1"/>
  <c r="F25" i="1"/>
  <c r="B25" i="1" s="1"/>
  <c r="B7" i="1" l="1"/>
  <c r="B83" i="2"/>
  <c r="C83" i="2" s="1"/>
  <c r="D83" i="2" s="1"/>
  <c r="E83" i="2" s="1"/>
  <c r="F83" i="2" s="1"/>
  <c r="G83" i="2" s="1"/>
  <c r="H83" i="2" s="1"/>
  <c r="I83" i="2" s="1"/>
  <c r="J83" i="2" s="1"/>
  <c r="K83" i="2" s="1"/>
  <c r="L83" i="2" s="1"/>
  <c r="M83" i="2" s="1"/>
  <c r="N8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Yuli Kaganovich</author>
  </authors>
  <commentList>
    <comment ref="Y8" authorId="0" shapeId="0" xr:uid="{DF3787C3-7A69-4E92-857A-317F2EBF3298}">
      <text>
        <r>
          <rPr>
            <sz val="10"/>
            <color rgb="FF000000"/>
            <rFont val="Arial"/>
            <family val="2"/>
            <scheme val="minor"/>
          </rPr>
          <t>Yuli Kaganovich:
חן חלקי 2</t>
        </r>
      </text>
    </comment>
    <comment ref="Y10" authorId="0" shapeId="0" xr:uid="{FCC3ED90-4132-4CF2-A8EC-136FCD8B7667}">
      <text>
        <r>
          <rPr>
            <sz val="10"/>
            <color rgb="FF000000"/>
            <rFont val="Arial"/>
            <family val="2"/>
            <scheme val="minor"/>
          </rPr>
          <t>Yuli Kaganovich:
חן חלקי 3</t>
        </r>
      </text>
    </comment>
    <comment ref="AE10" authorId="0" shapeId="0" xr:uid="{0E6FDD0A-C1EE-4FCD-A52C-8479D97C3E23}">
      <text>
        <r>
          <rPr>
            <sz val="10"/>
            <color rgb="FF000000"/>
            <rFont val="Arial"/>
            <family val="2"/>
            <scheme val="minor"/>
          </rPr>
          <t>Yuli Kaganovich:
חן חלקי 4</t>
        </r>
      </text>
    </comment>
    <comment ref="AE12" authorId="0" shapeId="0" xr:uid="{C53A098D-43EF-404C-9BB8-C85BD719173B}">
      <text>
        <r>
          <rPr>
            <sz val="10"/>
            <color rgb="FF000000"/>
            <rFont val="Arial"/>
            <family val="2"/>
            <scheme val="minor"/>
          </rPr>
          <t>Yuli Kaganovich:
התקדמות פרויקט</t>
        </r>
      </text>
    </comment>
    <comment ref="Y13" authorId="0" shapeId="0" xr:uid="{3FADF9FB-77D8-420A-8931-FBF61C0952B3}">
      <text>
        <r>
          <rPr>
            <sz val="10"/>
            <color rgb="FF000000"/>
            <rFont val="Arial"/>
            <family val="2"/>
            <scheme val="minor"/>
          </rPr>
          <t>Yuli Kaganovich:
חן חלקי 5</t>
        </r>
      </text>
    </comment>
    <comment ref="AA19" authorId="0" shapeId="0" xr:uid="{70981CC5-CDE4-4BE2-A4CE-7AEF350B4CEF}">
      <text>
        <r>
          <rPr>
            <sz val="10"/>
            <color rgb="FF000000"/>
            <rFont val="Arial"/>
            <family val="2"/>
            <scheme val="minor"/>
          </rPr>
          <t>Yuli Kaganovich:
20% הגדרת דוחות</t>
        </r>
      </text>
    </comment>
    <comment ref="W20" authorId="0" shapeId="0" xr:uid="{AE801227-34E9-4183-9288-A23C0258EBCE}">
      <text>
        <r>
          <rPr>
            <sz val="10"/>
            <color rgb="FF000000"/>
            <rFont val="Arial"/>
            <family val="2"/>
            <scheme val="minor"/>
          </rPr>
          <t>Yuli Kaganovich:
ימי עבודה בםועל</t>
        </r>
      </text>
    </comment>
    <comment ref="AA21" authorId="0" shapeId="0" xr:uid="{C00E3EDF-1B38-4DD9-B7AE-70F13198CFFB}">
      <text>
        <r>
          <rPr>
            <sz val="10"/>
            <color rgb="FF000000"/>
            <rFont val="Arial"/>
            <family val="2"/>
            <scheme val="minor"/>
          </rPr>
          <t>Yuli Kaganovich:
יתרה לחיוב</t>
        </r>
      </text>
    </comment>
    <comment ref="AA26" authorId="0" shapeId="0" xr:uid="{33223174-354F-4FD2-996C-2A161077C650}">
      <text>
        <r>
          <rPr>
            <sz val="10"/>
            <color rgb="FF000000"/>
            <rFont val="Arial"/>
            <family val="2"/>
            <scheme val="minor"/>
          </rPr>
          <t>Yuli Kaganovich:
ממיר תקשורת</t>
        </r>
      </text>
    </comment>
    <comment ref="AE26" authorId="0" shapeId="0" xr:uid="{9705E7E4-2B9B-4385-AE12-D5E6790554DC}">
      <text>
        <r>
          <rPr>
            <sz val="10"/>
            <color rgb="FF000000"/>
            <rFont val="Arial"/>
            <family val="2"/>
            <scheme val="minor"/>
          </rPr>
          <t>Yuli Kaganovich:
חן חלקי 4</t>
        </r>
      </text>
    </comment>
    <comment ref="AE28" authorId="0" shapeId="0" xr:uid="{65990021-8F94-4C03-81E1-A080E7E506D8}">
      <text>
        <r>
          <rPr>
            <sz val="10"/>
            <color rgb="FF000000"/>
            <rFont val="Arial"/>
            <family val="2"/>
            <scheme val="minor"/>
          </rPr>
          <t>Yuli Kaganovich:
התקדמות פרויקט</t>
        </r>
      </text>
    </comment>
    <comment ref="AE29" authorId="0" shapeId="0" xr:uid="{EBA5BA4C-6D40-4109-A4C4-A5E04B6788BF}">
      <text>
        <r>
          <rPr>
            <sz val="10"/>
            <color rgb="FF000000"/>
            <rFont val="Arial"/>
            <family val="2"/>
            <scheme val="minor"/>
          </rPr>
          <t>Yuli Kaganovich:
חן סופי</t>
        </r>
      </text>
    </comment>
    <comment ref="AE33" authorId="0" shapeId="0" xr:uid="{B654894D-745F-4BD1-9490-4FCB1D7568A9}">
      <text>
        <r>
          <rPr>
            <sz val="10"/>
            <color rgb="FF000000"/>
            <rFont val="Arial"/>
            <family val="2"/>
            <scheme val="minor"/>
          </rPr>
          <t>Yuli Kaganovich:
420 רשיונות מיילסטון</t>
        </r>
      </text>
    </comment>
    <comment ref="AE34" authorId="0" shapeId="0" xr:uid="{C6D59E81-49A9-4932-8396-DD2F7E9F87C8}">
      <text>
        <r>
          <rPr>
            <sz val="10"/>
            <color rgb="FF000000"/>
            <rFont val="Arial"/>
            <family val="2"/>
            <scheme val="minor"/>
          </rPr>
          <t>Yuli Kaganovich:
התקנה, אספקת רישוי, GIS.</t>
        </r>
      </text>
    </comment>
    <comment ref="X35" authorId="0" shapeId="0" xr:uid="{2AE3BCDC-B2EA-4995-BDFD-E1A4BF25163C}">
      <text>
        <r>
          <rPr>
            <sz val="10"/>
            <color rgb="FF000000"/>
            <rFont val="Arial"/>
            <family val="2"/>
            <scheme val="minor"/>
          </rPr>
          <t>Yuli Kaganovich:התקדמות בממשקים</t>
        </r>
      </text>
    </comment>
    <comment ref="AE35" authorId="0" shapeId="0" xr:uid="{BB893D9B-80F8-4807-A884-F635091C81A9}">
      <text>
        <r>
          <rPr>
            <sz val="10"/>
            <color rgb="FF000000"/>
            <rFont val="Arial"/>
            <family val="2"/>
            <scheme val="minor"/>
          </rPr>
          <t>Yuli Kaganovich:
התקדמות פרויקט</t>
        </r>
      </text>
    </comment>
    <comment ref="AA44" authorId="0" shapeId="0" xr:uid="{88A413DA-DEEB-462C-BBC8-0E218DB5BB6F}">
      <text>
        <r>
          <rPr>
            <sz val="10"/>
            <color rgb="FF000000"/>
            <rFont val="Arial"/>
            <family val="2"/>
            <scheme val="minor"/>
          </rPr>
          <t>Yuli Kaganovich:
חן 2 ואחרון</t>
        </r>
      </text>
    </comment>
    <comment ref="Y47" authorId="0" shapeId="0" xr:uid="{B8B9BF92-3D0C-4369-A70E-EBEAFB5FDF79}">
      <text>
        <r>
          <rPr>
            <sz val="10"/>
            <color rgb="FF000000"/>
            <rFont val="Arial"/>
            <family val="2"/>
            <scheme val="minor"/>
          </rPr>
          <t>Yuli Kaganovich:
70% לאחר התקנה</t>
        </r>
      </text>
    </comment>
    <comment ref="Y49" authorId="0" shapeId="0" xr:uid="{DFE8134B-5198-4033-A014-2670EA61C6D7}">
      <text>
        <r>
          <rPr>
            <sz val="10"/>
            <color rgb="FF000000"/>
            <rFont val="Arial"/>
            <family val="2"/>
            <scheme val="minor"/>
          </rPr>
          <t>Yuli Kaganovich:
חן מלא לאחר התקנה</t>
        </r>
      </text>
    </comment>
    <comment ref="AA50" authorId="0" shapeId="0" xr:uid="{6203AB18-1A03-41BD-8C70-96E46E0A9CB9}">
      <text>
        <r>
          <rPr>
            <sz val="10"/>
            <color rgb="FF000000"/>
            <rFont val="Arial"/>
            <family val="2"/>
            <scheme val="minor"/>
          </rPr>
          <t>Yuli Kaganovich:
מקדוניה מקדמה</t>
        </r>
      </text>
    </comment>
    <comment ref="AA51" authorId="0" shapeId="0" xr:uid="{866031C6-F3C8-4206-8285-1E05086CAB0D}">
      <text>
        <r>
          <rPr>
            <sz val="10"/>
            <color rgb="FF000000"/>
            <rFont val="Arial"/>
            <family val="2"/>
            <scheme val="minor"/>
          </rPr>
          <t>Yuli Kaganovich:
אינפיניטי חן 12</t>
        </r>
      </text>
    </comment>
    <comment ref="Y57" authorId="0" shapeId="0" xr:uid="{6E5702B6-BA7A-46AB-9F71-356385A8612A}">
      <text>
        <r>
          <rPr>
            <sz val="10"/>
            <color rgb="FF000000"/>
            <rFont val="Arial"/>
            <family val="2"/>
            <scheme val="minor"/>
          </rPr>
          <t>Yuli Kaganovich:
חן מלא לאחר התקנה</t>
        </r>
      </text>
    </comment>
    <comment ref="AA58" authorId="0" shapeId="0" xr:uid="{50F2F253-3E42-4897-89F3-F894142C20C6}">
      <text>
        <r>
          <rPr>
            <sz val="10"/>
            <color rgb="FF000000"/>
            <rFont val="Arial"/>
            <family val="2"/>
            <scheme val="minor"/>
          </rPr>
          <t>Yuli Kaganovich:
חן חלקי 1</t>
        </r>
      </text>
    </comment>
    <comment ref="AA59" authorId="0" shapeId="0" xr:uid="{3E678E1D-7033-42E6-BB57-FA10DD6B884E}">
      <text>
        <r>
          <rPr>
            <sz val="10"/>
            <color rgb="FF000000"/>
            <rFont val="Arial"/>
            <family val="2"/>
            <scheme val="minor"/>
          </rPr>
          <t>Yuli Kaganovich:
חן מלא+ ,תוספת יום עבודה</t>
        </r>
      </text>
    </comment>
    <comment ref="AE61" authorId="0" shapeId="0" xr:uid="{35A434F6-DE15-4AF5-B9B8-7499B4C315D9}">
      <text>
        <r>
          <rPr>
            <sz val="10"/>
            <color rgb="FF000000"/>
            <rFont val="Arial"/>
            <family val="2"/>
            <scheme val="minor"/>
          </rPr>
          <t>Yuli Kaganovich:
חן סופי ומלא על הפרויקט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Yuli Kaganovich</author>
    <author>Igal</author>
  </authors>
  <commentList>
    <comment ref="B23" authorId="0" shapeId="0" xr:uid="{023CF142-B65A-4471-85BC-CF78E24348C8}">
      <text>
        <r>
          <rPr>
            <sz val="10"/>
            <color rgb="FF000000"/>
            <rFont val="Arial"/>
            <family val="2"/>
            <scheme val="minor"/>
          </rPr>
          <t>Yuli Kaganovich:
טרם חידשו חוזה</t>
        </r>
      </text>
    </comment>
    <comment ref="B30" authorId="0" shapeId="0" xr:uid="{0C86C901-510B-4929-9E3B-033EB13A13AE}">
      <text>
        <r>
          <rPr>
            <sz val="10"/>
            <color rgb="FF000000"/>
            <rFont val="Arial"/>
            <family val="2"/>
            <scheme val="minor"/>
          </rPr>
          <t>Yuli Kaganovich:
לבדוק אם חידש שירות- ראובן</t>
        </r>
      </text>
    </comment>
    <comment ref="I32" authorId="0" shapeId="0" xr:uid="{26914964-E7EA-4D1B-B67A-458D0AF989D5}">
      <text>
        <r>
          <rPr>
            <sz val="10"/>
            <color rgb="FF000000"/>
            <rFont val="Arial"/>
            <family val="2"/>
            <scheme val="minor"/>
          </rPr>
          <t>Yuli Kaganovich:
חוזה חצי שנתי</t>
        </r>
      </text>
    </comment>
    <comment ref="P36" authorId="0" shapeId="0" xr:uid="{E1822DD5-4E14-46A9-A906-BEC8BE7A8B20}">
      <text>
        <r>
          <rPr>
            <sz val="10"/>
            <color rgb="FF000000"/>
            <rFont val="Arial"/>
            <family val="2"/>
            <scheme val="minor"/>
          </rPr>
          <t>Yuli Kaganovich:
השלמת 20% נותרים מחיוב ההזמנה</t>
        </r>
      </text>
    </comment>
    <comment ref="C56" authorId="0" shapeId="0" xr:uid="{C2345914-9512-4419-947E-86C6D1F19607}">
      <text>
        <r>
          <rPr>
            <sz val="10"/>
            <color rgb="FF000000"/>
            <rFont val="Arial"/>
            <family val="2"/>
            <scheme val="minor"/>
          </rPr>
          <t>Yuli Kaganovich:
מו"מ ראובן</t>
        </r>
      </text>
    </comment>
    <comment ref="B67" authorId="0" shapeId="0" xr:uid="{F0F30FC0-F92A-4723-AEE1-DAB5B6BAEB74}">
      <text>
        <r>
          <rPr>
            <sz val="10"/>
            <color rgb="FF000000"/>
            <rFont val="Arial"/>
            <family val="2"/>
            <scheme val="minor"/>
          </rPr>
          <t>Yuli Kaganovich:
שנת בדק</t>
        </r>
      </text>
    </comment>
    <comment ref="B71" authorId="0" shapeId="0" xr:uid="{5DEC518A-5259-4310-98DE-F519EAC76239}">
      <text>
        <r>
          <rPr>
            <sz val="10"/>
            <color rgb="FF000000"/>
            <rFont val="Arial"/>
            <family val="2"/>
            <scheme val="minor"/>
          </rPr>
          <t>Yuli Kaganovich:
צריך לחדש חוזה שירות</t>
        </r>
      </text>
    </comment>
    <comment ref="B72" authorId="0" shapeId="0" xr:uid="{7E936A85-9C27-4B4D-87E5-703FB0D8FF77}">
      <text>
        <r>
          <rPr>
            <sz val="10"/>
            <color rgb="FF000000"/>
            <rFont val="Arial"/>
            <family val="2"/>
            <scheme val="minor"/>
          </rPr>
          <t>Yuli Kaganovich:
עדיין לא נמסר</t>
        </r>
      </text>
    </comment>
    <comment ref="M77" authorId="1" shapeId="0" xr:uid="{9328B06C-EFF0-4AFA-9876-11F6096CE625}">
      <text>
        <r>
          <rPr>
            <b/>
            <sz val="9"/>
            <color indexed="81"/>
            <rFont val="Tahoma"/>
            <family val="2"/>
          </rPr>
          <t>Igal:</t>
        </r>
        <r>
          <rPr>
            <sz val="9"/>
            <color indexed="81"/>
            <rFont val="Tahoma"/>
            <family val="2"/>
          </rPr>
          <t xml:space="preserve">
תיקון מצלמות
חשבון סופי לפרויקט</t>
        </r>
      </text>
    </comment>
    <comment ref="O83" authorId="1" shapeId="0" xr:uid="{C8A48D1F-E6A6-47AD-AC8F-614C853FAB3D}">
      <text>
        <r>
          <rPr>
            <b/>
            <sz val="9"/>
            <color indexed="81"/>
            <rFont val="Tahoma"/>
            <family val="2"/>
          </rPr>
          <t>Igal:</t>
        </r>
        <r>
          <rPr>
            <sz val="9"/>
            <color indexed="81"/>
            <rFont val="Tahoma"/>
            <family val="2"/>
          </rPr>
          <t xml:space="preserve">
תמיכה בשראל</t>
        </r>
      </text>
    </comment>
    <comment ref="B84" authorId="0" shapeId="0" xr:uid="{5817D0D0-FF23-41C2-BD7B-53B99BEAE326}">
      <text>
        <r>
          <rPr>
            <sz val="10"/>
            <color rgb="FF000000"/>
            <rFont val="Arial"/>
            <family val="2"/>
            <scheme val="minor"/>
          </rPr>
          <t>Yuli Kaganovich:
מו"מ חידוש חוזה שירות</t>
        </r>
      </text>
    </comment>
    <comment ref="H139" authorId="0" shapeId="0" xr:uid="{35032C66-F78B-4B94-9447-C2D9058909B4}">
      <text>
        <r>
          <rPr>
            <sz val="10"/>
            <color rgb="FF000000"/>
            <rFont val="Arial"/>
            <family val="2"/>
            <scheme val="minor"/>
          </rPr>
          <t>Yuli Kaganovich:
טנטטיבי, יכנס רשמית לבדק לאחר מסירת המערכות לבנק</t>
        </r>
      </text>
    </comment>
    <comment ref="P150" authorId="0" shapeId="0" xr:uid="{0BEB6886-DE81-4C2F-A755-5E09CA2D9CDD}">
      <text>
        <r>
          <rPr>
            <sz val="10"/>
            <color rgb="FF000000"/>
            <rFont val="Arial"/>
            <family val="2"/>
            <scheme val="minor"/>
          </rPr>
          <t>Yuli Kaganovich:
רטרו' על נוב-פברואר+ תשלום חודשי על מרץ</t>
        </r>
      </text>
    </comment>
    <comment ref="N152" authorId="0" shapeId="0" xr:uid="{E066B784-8E4F-4AF4-BE06-08D4A32A3437}">
      <text>
        <r>
          <rPr>
            <sz val="10"/>
            <color rgb="FF000000"/>
            <rFont val="Arial"/>
            <family val="2"/>
            <scheme val="minor"/>
          </rPr>
          <t>Yuli Kaganovich:
חיבור מתחם CEVA לבקרת המבנה 
הסכום המלא חולק בין שני קבלנים</t>
        </r>
      </text>
    </comment>
    <comment ref="N153" authorId="0" shapeId="0" xr:uid="{CC02C156-992E-4590-A557-944EB935FD6B}">
      <text>
        <r>
          <rPr>
            <sz val="10"/>
            <color rgb="FF000000"/>
            <rFont val="Arial"/>
            <family val="2"/>
            <scheme val="minor"/>
          </rPr>
          <t>Yuli Kaganovich:
חיבור מתחם CEVA לבקרת המבנה
הסכום המלא חולק בין 2 קבלנים</t>
        </r>
      </text>
    </comment>
  </commentList>
</comments>
</file>

<file path=xl/sharedStrings.xml><?xml version="1.0" encoding="utf-8"?>
<sst xmlns="http://schemas.openxmlformats.org/spreadsheetml/2006/main" count="3585" uniqueCount="1363">
  <si>
    <t>תיכנון שנתי</t>
  </si>
  <si>
    <t>ינואר</t>
  </si>
  <si>
    <t>פברואר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</si>
  <si>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</si>
  <si>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</si>
  <si>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</si>
  <si>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</si>
  <si>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</si>
  <si>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</si>
  <si>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</si>
  <si>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</si>
  <si>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</si>
  <si>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</si>
  <si>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תכנון שנתי - 12M</t>
  </si>
  <si>
    <t>תכנון שנתי - 14.5M</t>
  </si>
  <si>
    <t>תכנון שנתי לפי הזמנות לא כולל שירות</t>
  </si>
  <si>
    <t>ביצוע שנתי לפי הזמנות כולל שירות</t>
  </si>
  <si>
    <t>תכנון שנתי אבטחה</t>
  </si>
  <si>
    <t>תכנון שנתי בקרת מבנה</t>
  </si>
  <si>
    <t>ביצוע שנתי אבטחה</t>
  </si>
  <si>
    <t>ביצוע שנתי בקרת מבנה</t>
  </si>
  <si>
    <t>תיכנון רבעוני</t>
  </si>
  <si>
    <t>רבעון ראשון</t>
  </si>
  <si>
    <t>רבעון שני</t>
  </si>
  <si>
    <t>רבעון שלישי</t>
  </si>
  <si>
    <t>רבעון רביעי</t>
  </si>
  <si>
    <t>תכנון רבעוני - 12M</t>
  </si>
  <si>
    <t>תכנון רבעוני - 14.5M</t>
  </si>
  <si>
    <t>תכנון רבעוני לפי הזמנות לא כולל שירות</t>
  </si>
  <si>
    <t>ביצוע רבעוני לפי הזמנות כולל שירות</t>
  </si>
  <si>
    <t>תכנון רבעוני אבטחה</t>
  </si>
  <si>
    <t>תכנון רבעוני בקרת מבנה</t>
  </si>
  <si>
    <t>ביצוע רבעוני אבטחה</t>
  </si>
  <si>
    <t>ביצוע רבעוני בקרת מבנה</t>
  </si>
  <si>
    <t>ביצוע - לא כולל חשבוניות מ 2025</t>
  </si>
  <si>
    <t>סך הכל</t>
  </si>
  <si>
    <t>פרויקטים חטיבת הביצוע טלפייר</t>
  </si>
  <si>
    <t>פרויקטים רטרופיט</t>
  </si>
  <si>
    <t>שו"ב גילוי אש גולן</t>
  </si>
  <si>
    <t>שו"ב אירית</t>
  </si>
  <si>
    <t>חו"ל</t>
  </si>
  <si>
    <t>שו"ב אבטחה</t>
  </si>
  <si>
    <t>BMS + אבטחה לא דרך טלפייר</t>
  </si>
  <si>
    <t>שירות</t>
  </si>
  <si>
    <t>חשבוניות  כולל שירות</t>
  </si>
  <si>
    <t>אחוז ביצוע חודשי</t>
  </si>
  <si>
    <t>אחוז ביצוע מצטבר</t>
  </si>
  <si>
    <t>אחוז ביצוע מצטבר תכנון</t>
  </si>
  <si>
    <t>הכנסות מתוכננות</t>
  </si>
  <si>
    <t>הכנסות מתוכננות אל קונטרול</t>
  </si>
  <si>
    <t>הכנסות בפועל</t>
  </si>
  <si>
    <t>הכנסות בפועל טלפייר</t>
  </si>
  <si>
    <t>הכנסות בפועל אל קונטרול</t>
  </si>
  <si>
    <t>סך הכל יחסית לשנה 14.5M</t>
  </si>
  <si>
    <t>הפרש</t>
  </si>
  <si>
    <t>צבר הזמנות 2026 - לא כולל שירות</t>
  </si>
  <si>
    <t>צבר הזמנות כללי</t>
  </si>
  <si>
    <t>שירות + חשבוניות</t>
  </si>
  <si>
    <t>שירות - צבר</t>
  </si>
  <si>
    <t>סטאטוס התקדמות בפרויקטים</t>
  </si>
  <si>
    <t>P0000099</t>
  </si>
  <si>
    <t>צבר הזמנות 2027 - לא כולל שירות</t>
  </si>
  <si>
    <t>חשבוניות + חשבון חיוב</t>
  </si>
  <si>
    <t>P0000117</t>
  </si>
  <si>
    <t>שם הפרויקט/ שם לקוח</t>
  </si>
  <si>
    <t>מס פרויקט</t>
  </si>
  <si>
    <t>אינטגרטור</t>
  </si>
  <si>
    <t>סוג הפרויקט</t>
  </si>
  <si>
    <t>מנהל פרויקט</t>
  </si>
  <si>
    <t>ערך כספי כולל של הפרויקט עפ"י הסכם</t>
  </si>
  <si>
    <t>תאריך קבלת הזמנה לפרויקט</t>
  </si>
  <si>
    <t>יתרה לחיוב</t>
  </si>
  <si>
    <t>יתרת חשבוניות חיוב לפרויקט</t>
  </si>
  <si>
    <t xml:space="preserve">חשבוניות שהופקו ב 2024+2025 </t>
  </si>
  <si>
    <t>חשבוניות עסקה שהופקו ב 2024+2025</t>
  </si>
  <si>
    <t>שעות עבודה שהושקעו בפרויקט 2026</t>
  </si>
  <si>
    <t>אחוז התקדמות לשנת 2025</t>
  </si>
  <si>
    <t xml:space="preserve">סטטוס </t>
  </si>
  <si>
    <t>חלקים</t>
  </si>
  <si>
    <t>קבלני משנה</t>
  </si>
  <si>
    <t>שעות עבודה  מושקעות</t>
  </si>
  <si>
    <t>עלות שעת עבודה - מיישם</t>
  </si>
  <si>
    <t>עלות כח אדם לפרויקט</t>
  </si>
  <si>
    <t>רווח גולמי לפרויקט</t>
  </si>
  <si>
    <t>רווח גולמי לפרויקט %</t>
  </si>
  <si>
    <t>צפי אחוז התקדמות לתקופה</t>
  </si>
  <si>
    <t>צפי הוצאת חשבוניות/ חשבוניות עסקה</t>
  </si>
  <si>
    <t>חשבוניות עסקה שהופקו בפועל</t>
  </si>
  <si>
    <t>חשבוניות שהופקו בפועל</t>
  </si>
  <si>
    <t>צפי הוצאת חשבוניות</t>
  </si>
  <si>
    <t>אחוז שנותר מהפרוייקט (חשבוניות שהופקו בפועל)</t>
  </si>
  <si>
    <t>חשבוניות שיוכרו ב 2027 תכנון</t>
  </si>
  <si>
    <t>חשבוניות שיוכרו ב 2026 תכנון</t>
  </si>
  <si>
    <t>חשבוניות שיוכרו ב 2026 ביצוע</t>
  </si>
  <si>
    <t>הפרש חשבוניות ל 2026</t>
  </si>
  <si>
    <t>אחוז ביצוע מהפרויקט לשנת 2026</t>
  </si>
  <si>
    <t>תשלום כללי שחוייב הפרוייקט (חשבון חיוב +חשבוניות עסקה)</t>
  </si>
  <si>
    <t>תשלום כללי שחוייב הפרוייקט (חשבוניות מס )</t>
  </si>
  <si>
    <t>תשלום כללי שחוייב הפרוייקט (חשבוניות עסקה)</t>
  </si>
  <si>
    <t>עילית מסחרי(דניה)</t>
  </si>
  <si>
    <t xml:space="preserve"> PR23000002</t>
  </si>
  <si>
    <t>טלפייר - מוסדי</t>
  </si>
  <si>
    <t>בקרת מבנה</t>
  </si>
  <si>
    <t>מיכאל</t>
  </si>
  <si>
    <t>בעבודה</t>
  </si>
  <si>
    <t>נתיבים המהירים - שפיים</t>
  </si>
  <si>
    <t>PR24000050</t>
  </si>
  <si>
    <t>אל קונטרול</t>
  </si>
  <si>
    <t>בקרת מבנה תוכנה</t>
  </si>
  <si>
    <t>שאול</t>
  </si>
  <si>
    <t>נתיבים המהירים - ראשון לציון</t>
  </si>
  <si>
    <t>PR24000080</t>
  </si>
  <si>
    <t>אלקטרה</t>
  </si>
  <si>
    <t>עלית מגורים(אלקטרה)</t>
  </si>
  <si>
    <t>PR24000030</t>
  </si>
  <si>
    <t>עלית מגורים(אשטרום)</t>
  </si>
  <si>
    <t>PR24000031</t>
  </si>
  <si>
    <t>טלפייר - בניינים</t>
  </si>
  <si>
    <t>מגדל</t>
  </si>
  <si>
    <t xml:space="preserve"> PR24000036</t>
  </si>
  <si>
    <t>ארדן</t>
  </si>
  <si>
    <t>אבטחה תוכנה - אל קונטרול</t>
  </si>
  <si>
    <t>קרסו ויתניה פתח תקווה</t>
  </si>
  <si>
    <t xml:space="preserve"> PR24000014</t>
  </si>
  <si>
    <t>אינטר אלקטריק</t>
  </si>
  <si>
    <t>אבים</t>
  </si>
  <si>
    <t>בית מנצור 2</t>
  </si>
  <si>
    <t>PR24000015</t>
  </si>
  <si>
    <t>הסתיים</t>
  </si>
  <si>
    <t>בית לוינשטיין</t>
  </si>
  <si>
    <t xml:space="preserve"> PR24000003</t>
  </si>
  <si>
    <t>מודול לזימון אורחים + קיוסק BBC</t>
  </si>
  <si>
    <t>PR24000002</t>
  </si>
  <si>
    <t>מהרסים טופ סקיליין</t>
  </si>
  <si>
    <t>PR24000078</t>
  </si>
  <si>
    <t>טופ סקייליין</t>
  </si>
  <si>
    <t>נדב</t>
  </si>
  <si>
    <t>בית חולים דרום- אופק רחב</t>
  </si>
  <si>
    <t>PR24000066</t>
  </si>
  <si>
    <t>אבטחה תוכנה</t>
  </si>
  <si>
    <t>נתיבים מהירים- CSP</t>
  </si>
  <si>
    <t>PR24000040</t>
  </si>
  <si>
    <t>הפניקס</t>
  </si>
  <si>
    <t>PR25000003</t>
  </si>
  <si>
    <t>מגאסון</t>
  </si>
  <si>
    <t>מערכת לזיהוי קרונות</t>
  </si>
  <si>
    <t>PR24000046</t>
  </si>
  <si>
    <t>מפטגון</t>
  </si>
  <si>
    <t>מעבדות למדא</t>
  </si>
  <si>
    <t>PR24000054</t>
  </si>
  <si>
    <t>בינת יישום</t>
  </si>
  <si>
    <t>התקבלה הזמנה</t>
  </si>
  <si>
    <t xml:space="preserve">מוקד אוסם </t>
  </si>
  <si>
    <t>PR24000053</t>
  </si>
  <si>
    <t>שוב אש</t>
  </si>
  <si>
    <t>הירקון 2</t>
  </si>
  <si>
    <t>PR24000064</t>
  </si>
  <si>
    <t>ביונד</t>
  </si>
  <si>
    <t>PR24000067</t>
  </si>
  <si>
    <t xml:space="preserve"> תוכנה QCYBER</t>
  </si>
  <si>
    <t>PR25000004</t>
  </si>
  <si>
    <t xml:space="preserve"> בקרה QCYBER</t>
  </si>
  <si>
    <t>PR24000068</t>
  </si>
  <si>
    <t>אוסם זימון אורחים וקיוסק</t>
  </si>
  <si>
    <t xml:space="preserve"> PR25000018</t>
  </si>
  <si>
    <t>מד 1</t>
  </si>
  <si>
    <t>PR24000074</t>
  </si>
  <si>
    <t>רשף</t>
  </si>
  <si>
    <t>בזק שו"ב</t>
  </si>
  <si>
    <t>PR24000077</t>
  </si>
  <si>
    <t>תלפיות 2</t>
  </si>
  <si>
    <t>PR25000005</t>
  </si>
  <si>
    <t>הירקון1</t>
  </si>
  <si>
    <t>PR25000002</t>
  </si>
  <si>
    <t>מקדוניה שלב ב</t>
  </si>
  <si>
    <t>PR25000015</t>
  </si>
  <si>
    <t>אלביט</t>
  </si>
  <si>
    <t>תנובה שו"ב</t>
  </si>
  <si>
    <t>PR25000016</t>
  </si>
  <si>
    <t>מערכת בקרת כניסה בזא</t>
  </si>
  <si>
    <t>PR25000017</t>
  </si>
  <si>
    <t>רכבת ישראל BMS הרחבה</t>
  </si>
  <si>
    <t>סבירות גבוהה</t>
  </si>
  <si>
    <t>LM</t>
  </si>
  <si>
    <t>PR25000028</t>
  </si>
  <si>
    <t>אל-פאר</t>
  </si>
  <si>
    <t>אלוני ים בטחון</t>
  </si>
  <si>
    <t>PR25000031</t>
  </si>
  <si>
    <t>אפקון</t>
  </si>
  <si>
    <t>גלוברנדס חנויות</t>
  </si>
  <si>
    <t>PR25000025</t>
  </si>
  <si>
    <t>גלוברנדס הרחבה</t>
  </si>
  <si>
    <t>PR25000026</t>
  </si>
  <si>
    <t>שוב ביטחון רכבת ישראל אלביט</t>
  </si>
  <si>
    <t>טוטנאור אזור תעשיה הר טוב</t>
  </si>
  <si>
    <t xml:space="preserve">PR25000030 </t>
  </si>
  <si>
    <t>טלפייר - רטרופיט</t>
  </si>
  <si>
    <t xml:space="preserve">נלדן תקשורת - פרויקט אפריקה </t>
  </si>
  <si>
    <t>PR25000029</t>
  </si>
  <si>
    <t>גולן</t>
  </si>
  <si>
    <t>בית נמרודי (7 כוכבים)</t>
  </si>
  <si>
    <t>PR25000037</t>
  </si>
  <si>
    <t>שוב אש דדה סנטר</t>
  </si>
  <si>
    <t>PR25000035</t>
  </si>
  <si>
    <t>טאליס</t>
  </si>
  <si>
    <t>שוב אש תנובה פ"ת</t>
  </si>
  <si>
    <t>PR25000038</t>
  </si>
  <si>
    <t>טלפייר - שירות</t>
  </si>
  <si>
    <t>זימון מבקרים אגד</t>
  </si>
  <si>
    <t>PR25000039</t>
  </si>
  <si>
    <t xml:space="preserve">Vod משרד המשפטים </t>
  </si>
  <si>
    <t>PR25000040</t>
  </si>
  <si>
    <t>פארק עברי ירושלים</t>
  </si>
  <si>
    <t>PR25000041</t>
  </si>
  <si>
    <t>רכבת רומניה</t>
  </si>
  <si>
    <t>PR26000001</t>
  </si>
  <si>
    <t>איניפיניטי</t>
  </si>
  <si>
    <t>PR24000021</t>
  </si>
  <si>
    <t>שדרוג שו"ב אש הדסה עין כרם</t>
  </si>
  <si>
    <t>PR25000010</t>
  </si>
  <si>
    <t>קמפוס אמית</t>
  </si>
  <si>
    <t>PR26000006</t>
  </si>
  <si>
    <t>דיור ממשלתי גיסין</t>
  </si>
  <si>
    <t>PR26000007</t>
  </si>
  <si>
    <t>אוניברסיטת בן גוריון</t>
  </si>
  <si>
    <t>ממתין להזמנה</t>
  </si>
  <si>
    <t>מובילאי</t>
  </si>
  <si>
    <t>אבטחה</t>
  </si>
  <si>
    <t>יוניון שורק- בר גיל</t>
  </si>
  <si>
    <t>PR26000002</t>
  </si>
  <si>
    <t>אור ירושלים- טליס</t>
  </si>
  <si>
    <t>PR26000003</t>
  </si>
  <si>
    <t>וויליפוד ביטחון</t>
  </si>
  <si>
    <t>PR26000004</t>
  </si>
  <si>
    <t>מע' ניהול שטיפת רכבות הקישון</t>
  </si>
  <si>
    <t>PR26000005</t>
  </si>
  <si>
    <t>מרלוג לסר</t>
  </si>
  <si>
    <t>PR26000008</t>
  </si>
  <si>
    <t>ממשק PACOM</t>
  </si>
  <si>
    <t>PR26000009</t>
  </si>
  <si>
    <t>גב ים</t>
  </si>
  <si>
    <t>PR26000010</t>
  </si>
  <si>
    <t>אחרי סינון</t>
  </si>
  <si>
    <t>שרות</t>
  </si>
  <si>
    <t>`</t>
  </si>
  <si>
    <t xml:space="preserve">סך הכול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</si>
  <si>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</si>
  <si>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הטבלה לא כולל את התשלום עבור השירות</t>
  </si>
  <si>
    <t>חשבוניות עסקה 2026</t>
  </si>
  <si>
    <t>חשבוניות 2026</t>
  </si>
  <si>
    <t>שנתי</t>
  </si>
  <si>
    <t>0</t>
  </si>
  <si>
    <t>חשבוניות - תיכנון</t>
  </si>
  <si>
    <t>חשבוניות - ביצוע כולל שירות</t>
  </si>
  <si>
    <t>מצטבר 2026</t>
  </si>
  <si>
    <t>שירות - תכנון</t>
  </si>
  <si>
    <t>שירות - ביצוע</t>
  </si>
  <si>
    <t>צבר הזמנות - חודשי</t>
  </si>
  <si>
    <t>תאריכים</t>
  </si>
  <si>
    <t>צבר הזמנות</t>
  </si>
  <si>
    <t>הטבלה לעובד לא כולל את התשלום עבור השירות</t>
  </si>
  <si>
    <t>סיכום כללי</t>
  </si>
  <si>
    <t>אבטחה ( נדב )</t>
  </si>
  <si>
    <t>הטבלה לעובד לא כולל את התשלום עבור השירות - בפועל</t>
  </si>
  <si>
    <t>תוכנה בקרת מבנה</t>
  </si>
  <si>
    <t>כללי</t>
  </si>
  <si>
    <t>G1</t>
  </si>
  <si>
    <t>בוטל</t>
  </si>
  <si>
    <t>ABB</t>
  </si>
  <si>
    <t>מגדלי רובינשטין</t>
  </si>
  <si>
    <t>טלפייר חול</t>
  </si>
  <si>
    <t>מוטורולה</t>
  </si>
  <si>
    <t>ברינקס</t>
  </si>
  <si>
    <t>ח.מר</t>
  </si>
  <si>
    <t>מנורה</t>
  </si>
  <si>
    <t>סלקום</t>
  </si>
  <si>
    <t>hvi</t>
  </si>
  <si>
    <t>פרוטקט מרכבה</t>
  </si>
  <si>
    <t>יאיר ברגיל</t>
  </si>
  <si>
    <t>מספר מעקב</t>
  </si>
  <si>
    <t>סה"כ הכנסות</t>
  </si>
  <si>
    <t>שם ספריה</t>
  </si>
  <si>
    <t>שם הפרויקט</t>
  </si>
  <si>
    <t>מועד הגשת ההצעה</t>
  </si>
  <si>
    <t xml:space="preserve">צפי לתחילת ביצוע </t>
  </si>
  <si>
    <t>איש קשר</t>
  </si>
  <si>
    <t>מייל</t>
  </si>
  <si>
    <t>טלפון</t>
  </si>
  <si>
    <t>פאנל</t>
  </si>
  <si>
    <t>סטטוס הזמנה</t>
  </si>
  <si>
    <t>הערות</t>
  </si>
  <si>
    <t>צפי ל 23</t>
  </si>
  <si>
    <t>צפי ל 24</t>
  </si>
  <si>
    <t>ישראל / חו"ל</t>
  </si>
  <si>
    <t>נתקבלה פנייה</t>
  </si>
  <si>
    <t>יצאה הצעת מחיר</t>
  </si>
  <si>
    <t>משא ומתן</t>
  </si>
  <si>
    <t>נפל</t>
  </si>
  <si>
    <t>חשבונית</t>
  </si>
  <si>
    <t>חנה וסע</t>
  </si>
  <si>
    <t>אלכס CSP</t>
  </si>
  <si>
    <t>ישראל</t>
  </si>
  <si>
    <t>רשות ההגירה - שינויים</t>
  </si>
  <si>
    <t>כללי תוכנה</t>
  </si>
  <si>
    <t>מח"ש</t>
  </si>
  <si>
    <t>q3/23</t>
  </si>
  <si>
    <t>יוסי שיטרית</t>
  </si>
  <si>
    <t>נתיב מהיר בקרה</t>
  </si>
  <si>
    <t>עדן</t>
  </si>
  <si>
    <t>קניון רננים בקרה</t>
  </si>
  <si>
    <t>יניב כרמי</t>
  </si>
  <si>
    <t>קניון רננים טמס</t>
  </si>
  <si>
    <t>מרלוג אוריין - קרית מלאכי</t>
  </si>
  <si>
    <t>בשלבי בנייה - פניה ללקוח לבירור הסוגיה</t>
  </si>
  <si>
    <t>מוקד מבנה</t>
  </si>
  <si>
    <t>יגאל מצפי</t>
  </si>
  <si>
    <t>אין עניין</t>
  </si>
  <si>
    <t>קריית הממשלה - באר שבע</t>
  </si>
  <si>
    <t>אלי ברק</t>
  </si>
  <si>
    <t>תוכנה נישלחה לאישור היועץ - יצאה הצעה עדכנית</t>
  </si>
  <si>
    <t>פרויקט רקפות</t>
  </si>
  <si>
    <t>אורטל</t>
  </si>
  <si>
    <t>נמל חיפה</t>
  </si>
  <si>
    <t>איתי</t>
  </si>
  <si>
    <t>שרונה כפר סבא</t>
  </si>
  <si>
    <t>דותן מנהל הפרויקט</t>
  </si>
  <si>
    <t>בניין נפתית אלקוטרה</t>
  </si>
  <si>
    <t>EliBr@electra.co.il</t>
  </si>
  <si>
    <t>שוב בית חולים בני ציון</t>
  </si>
  <si>
    <t>בת קול- רפי</t>
  </si>
  <si>
    <t>רפי</t>
  </si>
  <si>
    <t>צ'מפיון בקרת מבנה</t>
  </si>
  <si>
    <t>יניב</t>
  </si>
  <si>
    <t xml:space="preserve">מערכת RTLS </t>
  </si>
  <si>
    <t>יוסי שטרית</t>
  </si>
  <si>
    <t>הלקוח לא מתקדם</t>
  </si>
  <si>
    <t>קניון השרון נתניה</t>
  </si>
  <si>
    <t>Q2/23</t>
  </si>
  <si>
    <t>אירית</t>
  </si>
  <si>
    <t>נדחה ל-2024</t>
  </si>
  <si>
    <t>שוב בטחון אפריקה</t>
  </si>
  <si>
    <t>ראובן</t>
  </si>
  <si>
    <t>התמודדות במכרז</t>
  </si>
  <si>
    <t>מתחם בליליוס ירושלים</t>
  </si>
  <si>
    <t>אורטל דיכטר</t>
  </si>
  <si>
    <t>OrtalD@electra.co.il</t>
  </si>
  <si>
    <t>054-7766594</t>
  </si>
  <si>
    <t>ממתין לתשובה</t>
  </si>
  <si>
    <t xml:space="preserve">נחום גולדמן </t>
  </si>
  <si>
    <t>054-7766595</t>
  </si>
  <si>
    <t>אלקטרה זכתה</t>
  </si>
  <si>
    <t xml:space="preserve">אוניברסיטת בין גוריון </t>
  </si>
  <si>
    <t>אלכס</t>
  </si>
  <si>
    <t>ממתין לתקציב לשנת 2023</t>
  </si>
  <si>
    <t>א.ר תעשיות מיגון</t>
  </si>
  <si>
    <t>יונתן</t>
  </si>
  <si>
    <t xml:space="preserve">yoni@migun102.com </t>
  </si>
  <si>
    <t>050-7660102</t>
  </si>
  <si>
    <t>ורידיס - בדיקה מול להלקוח</t>
  </si>
  <si>
    <t>קרן אש</t>
  </si>
  <si>
    <t>yaniv@mfcs.co.il</t>
  </si>
  <si>
    <t>052-8017773</t>
  </si>
  <si>
    <t xml:space="preserve">ויזה כאל - ממתין לבניין חדש </t>
  </si>
  <si>
    <t xml:space="preserve">ס.ע תקשורת וחשמל </t>
  </si>
  <si>
    <t>הייתם</t>
  </si>
  <si>
    <t>satpcel@gmail.com</t>
  </si>
  <si>
    <t>054-8042415</t>
  </si>
  <si>
    <t>KLA - בשבוע הבא פגישת אפיון</t>
  </si>
  <si>
    <t>א. יאנוס</t>
  </si>
  <si>
    <t>קובי</t>
  </si>
  <si>
    <t>kobi@betihut.com</t>
  </si>
  <si>
    <t>050-8677665</t>
  </si>
  <si>
    <t>מנועי בית שמש בתקציב 2024</t>
  </si>
  <si>
    <t>א.דנן</t>
  </si>
  <si>
    <t>alexf@a-danan.co.il</t>
  </si>
  <si>
    <t>054-7630641</t>
  </si>
  <si>
    <t xml:space="preserve"> שטראוס תתואם פגישה בסוף יוני</t>
  </si>
  <si>
    <t>אגן בינדו</t>
  </si>
  <si>
    <t>agan.b2019@gmail.com</t>
  </si>
  <si>
    <t>054-8053000</t>
  </si>
  <si>
    <t>מלון מודני נתניה</t>
  </si>
  <si>
    <t>מלון בראון אילת</t>
  </si>
  <si>
    <t>אקסיס ל.ל 2018 טכנולוגיות ובטחון בע"מ</t>
  </si>
  <si>
    <t>אבי כהן</t>
  </si>
  <si>
    <t>avi.axis1@gmail.com</t>
  </si>
  <si>
    <t>050-6622158</t>
  </si>
  <si>
    <t>סולארידג' מתחם השרון</t>
  </si>
  <si>
    <t>אלוני ים בטחון - אפקון</t>
  </si>
  <si>
    <t>עומר נחמן</t>
  </si>
  <si>
    <t>OmerN@afcon.co.il</t>
  </si>
  <si>
    <t>050-6768370</t>
  </si>
  <si>
    <t>סולארידג' קמפוס</t>
  </si>
  <si>
    <t>אמיל</t>
  </si>
  <si>
    <t>שוב אש שיבא</t>
  </si>
  <si>
    <t>תמר 5 רחובות</t>
  </si>
  <si>
    <t>עובדיה ראובן</t>
  </si>
  <si>
    <t>אפיקטק - צפי לתשובות 2023</t>
  </si>
  <si>
    <t>שוב אש התאחדות לכדורגל רמת גן</t>
  </si>
  <si>
    <t xml:space="preserve">גיל </t>
  </si>
  <si>
    <t>יום ראשון שיחה מול הלקוח</t>
  </si>
  <si>
    <t>אלביט מקדוניה</t>
  </si>
  <si>
    <t>חיים לנגר</t>
  </si>
  <si>
    <t>תחנת כח רוטנברג שוב אש</t>
  </si>
  <si>
    <t>אשר</t>
  </si>
  <si>
    <t xml:space="preserve">בניין שיכון ובינוי </t>
  </si>
  <si>
    <t>רועי מילר</t>
  </si>
  <si>
    <t>תוספת חדרים רשות הגירה</t>
  </si>
  <si>
    <t>מוקד ביטחון בית חולים</t>
  </si>
  <si>
    <r>
      <rPr>
        <b/>
        <sz val="10"/>
        <color rgb="FF000000"/>
        <rFont val="Arial"/>
        <family val="2"/>
      </rPr>
      <t>סולי בקל</t>
    </r>
    <r>
      <rPr>
        <sz val="11"/>
        <color rgb="FF000000"/>
        <rFont val="Arial"/>
        <family val="2"/>
      </rPr>
      <t xml:space="preserve"> </t>
    </r>
  </si>
  <si>
    <t>soly.bakal@g1-group.com</t>
  </si>
  <si>
    <t>052-3534368</t>
  </si>
  <si>
    <t>מוקד בבני ציון</t>
  </si>
  <si>
    <t>הרחבה פרויקט איטליה</t>
  </si>
  <si>
    <t>q4/23</t>
  </si>
  <si>
    <t>עוגן דרום</t>
  </si>
  <si>
    <t>רועי ארוסי
רועי ששון</t>
  </si>
  <si>
    <t>roeia@shamrad.co.il
royi_sason@mod.gov.il</t>
  </si>
  <si>
    <t>0584345626</t>
  </si>
  <si>
    <t>פיילוט מול משרד הביטחון - פוטנציאל ל 30 אתרים נוספים - ערך כ 3,000,000 ₪</t>
  </si>
  <si>
    <t>בקרת מבנה בניין מוטורולה</t>
  </si>
  <si>
    <t>החלפת בקרת מבנה בניין מוטורולה</t>
  </si>
  <si>
    <t>מערכת שוב בנק מזרחי</t>
  </si>
  <si>
    <t>רשף ביטחון זכו במכרז</t>
  </si>
  <si>
    <t>שוב גדר אלפאר גרסה 3</t>
  </si>
  <si>
    <t>שגיא</t>
  </si>
  <si>
    <t>אלא - אור יהודה</t>
  </si>
  <si>
    <t>דקר</t>
  </si>
  <si>
    <t>2 מגדלים באור יהודה - כולל מערכות אבטחה -נשלחה הצעה נפרד לדניה</t>
  </si>
  <si>
    <t>BMS רכבת ישראל תחנות לוד</t>
  </si>
  <si>
    <t>עמית שקד</t>
  </si>
  <si>
    <t>הגשה ישירה למכרז</t>
  </si>
  <si>
    <t>שטח 70 ארווירונאוטיקס</t>
  </si>
  <si>
    <t>TALIS</t>
  </si>
  <si>
    <t>פרויקט ל2026</t>
  </si>
  <si>
    <t>פרוייקט מפעלי חמצן</t>
  </si>
  <si>
    <t>מוטי שריד</t>
  </si>
  <si>
    <t>רפי כהן - אינטר אלקטריק</t>
  </si>
  <si>
    <t xml:space="preserve"> פארק TLV</t>
  </si>
  <si>
    <t>רענן  אלקטרה - 050-8881950 brokman1@013net.net</t>
  </si>
  <si>
    <t>רכבת קלה נופית</t>
  </si>
  <si>
    <t>יוגב</t>
  </si>
  <si>
    <t>אפקון לא נגשו</t>
  </si>
  <si>
    <t>מקווה ישראל שוב</t>
  </si>
  <si>
    <t>מערכת שוב lascom</t>
  </si>
  <si>
    <t>14/5/2022</t>
  </si>
  <si>
    <t>ניר לסקו</t>
  </si>
  <si>
    <t>סולאר אידג' - מוקד מרכזי</t>
  </si>
  <si>
    <t xml:space="preserve">מחודש יוני יחל תהליך מול הרכש - ישנם 3 חברות שמתמודדות
תקציה נדחה ל2024 </t>
  </si>
  <si>
    <t>רובנשטיין - רטרופיט</t>
  </si>
  <si>
    <t>נויה</t>
  </si>
  <si>
    <t>שידרוג של 17 מוקדים - רוצים להחליף את אפקון וישומי בקרה</t>
  </si>
  <si>
    <t>מגדלי BBC</t>
  </si>
  <si>
    <t>נכסי אראל</t>
  </si>
  <si>
    <t>בית איילון</t>
  </si>
  <si>
    <t>נשלח הצעת מחיר ב2022, נשלחה שוב לבקשת יניב ב 27/05/2023</t>
  </si>
  <si>
    <t>SOUTHGATE הרצליה פרשקובסקי</t>
  </si>
  <si>
    <t>גולן דהן</t>
  </si>
  <si>
    <t xml:space="preserve"> מכרז מבנה מדעי המחשב אוניברסיטת באר שבע</t>
  </si>
  <si>
    <t>אמיר נחמן ישומיי בקרה</t>
  </si>
  <si>
    <t>מכרז - הוגשה הצעה ל ישומיי בקרה</t>
  </si>
  <si>
    <t>רשות המסים מערכת VOD</t>
  </si>
  <si>
    <t xml:space="preserve">יצאה הצעת מחיר למחש- ע"ס 25000 אשקלון , משרד העבודה ע"ס 20000, </t>
  </si>
  <si>
    <t>ביג גלילות- שוב</t>
  </si>
  <si>
    <t>שלחה הצעה לאפקון ולמגאסון</t>
  </si>
  <si>
    <t>אכסניות אנא</t>
  </si>
  <si>
    <t>גנאדי רויאלנט - שוב חווה סולארי</t>
  </si>
  <si>
    <t>גיל</t>
  </si>
  <si>
    <t>איברי דניסון</t>
  </si>
  <si>
    <t>אסם מערכת שליטה מרכזית</t>
  </si>
  <si>
    <t>אוריין תוספות</t>
  </si>
  <si>
    <t>אבירם סוויס</t>
  </si>
  <si>
    <t>דיור מוגן אשקלון</t>
  </si>
  <si>
    <t>עיר בטוחה בהונדורס</t>
  </si>
  <si>
    <t>משה ליזרובסקי</t>
  </si>
  <si>
    <t>מערכת ווידיאו מיילסטון+מרכז שליטה שוב</t>
  </si>
  <si>
    <t>ביג כרמי גת</t>
  </si>
  <si>
    <t>T&amp;M</t>
  </si>
  <si>
    <t xml:space="preserve">יונתן </t>
  </si>
  <si>
    <t>סוללים שוב ביטחון</t>
  </si>
  <si>
    <t>מגסון זכו דותן מנהל הפרויקט</t>
  </si>
  <si>
    <t>פרויקט מעונות ספרא גבעת רם ים</t>
  </si>
  <si>
    <t>קבלן חשמל קרמר ובניו</t>
  </si>
  <si>
    <t>חזקי אייזן 02-5864827</t>
  </si>
  <si>
    <t xml:space="preserve">בית ישרכרט </t>
  </si>
  <si>
    <t>דולב</t>
  </si>
  <si>
    <t xml:space="preserve">פארק יוקנעם </t>
  </si>
  <si>
    <t>אוניפארם שו"ב ביטחון</t>
  </si>
  <si>
    <t>Xcloud</t>
  </si>
  <si>
    <t>דימה Xcloud</t>
  </si>
  <si>
    <t>מערכת שוב בית חולים הילל יפה</t>
  </si>
  <si>
    <t>רפי בת קול</t>
  </si>
  <si>
    <t>אפקון זכו , במומ מולם</t>
  </si>
  <si>
    <t>רכבי סיור ריו ברזיל</t>
  </si>
  <si>
    <t xml:space="preserve">אלביט </t>
  </si>
  <si>
    <t>רמבם מערכת שו"ב</t>
  </si>
  <si>
    <t>רפי סוריאנו</t>
  </si>
  <si>
    <t>שוב אש מנוע בת שמש</t>
  </si>
  <si>
    <t>עמדת קיוקס גלובל טאוור</t>
  </si>
  <si>
    <t>יורם דדון</t>
  </si>
  <si>
    <t>שוב לאתרים מרוחקים אפריקה</t>
  </si>
  <si>
    <t>שוב בניין סלקום</t>
  </si>
  <si>
    <t>בקרה מבנה 4006</t>
  </si>
  <si>
    <t xml:space="preserve">תדהר </t>
  </si>
  <si>
    <t xml:space="preserve">איש קשר יונתן רון - </t>
  </si>
  <si>
    <t>שוב תהנכים חווה סולארית</t>
  </si>
  <si>
    <t>טבע מערכת שוב</t>
  </si>
  <si>
    <t>רשף בטחון</t>
  </si>
  <si>
    <t>אילן סלומון</t>
  </si>
  <si>
    <t>מגרש 70</t>
  </si>
  <si>
    <t>דניה סיבוס</t>
  </si>
  <si>
    <t xml:space="preserve">דניה סיבוס זכתה - רכש </t>
  </si>
  <si>
    <t>מכרז חשכל</t>
  </si>
  <si>
    <t>אלון</t>
  </si>
  <si>
    <t>מכרז מסגרת חשכ"ל</t>
  </si>
  <si>
    <t>מערכת בקרה תחנות לוד-שער הגיא</t>
  </si>
  <si>
    <t xml:space="preserve">דור אבני </t>
  </si>
  <si>
    <t xml:space="preserve">דור אבני מהנדס חשמל אייזנברג את שין בע"מ : 03-5585026 , 054-7788051 </t>
  </si>
  <si>
    <t>מערכת זימון אורחים ביוד</t>
  </si>
  <si>
    <t>מלם טים - אופק רחב</t>
  </si>
  <si>
    <t>גידי אמבוס</t>
  </si>
  <si>
    <t>מרלוג קומסקו- קיסריה</t>
  </si>
  <si>
    <t>הוגש לאייל שגיא ואורטל מאלקטרה</t>
  </si>
  <si>
    <t>אונו סנטר</t>
  </si>
  <si>
    <t>תוספת דני מנור צוות 3</t>
  </si>
  <si>
    <t>צוות 3</t>
  </si>
  <si>
    <t>דני מנור</t>
  </si>
  <si>
    <t>מודול לזימון אורחים + קיוסק</t>
  </si>
  <si>
    <t>דביר ברבי</t>
  </si>
  <si>
    <t>חברת בת של TATA ההודית</t>
  </si>
  <si>
    <t>קבלן אבדור</t>
  </si>
  <si>
    <t>מגדלי דו   בקרת מבנה</t>
  </si>
  <si>
    <t xml:space="preserve"> מגדל  לייףC בני ברק</t>
  </si>
  <si>
    <t>מאור ברדוגו</t>
  </si>
  <si>
    <t>יצאה הצעת מחיר לארדן ע"ס 170K ש"ח רק בקרה חשמל
יצאה הצעת מחיר ע"ס 56K ש" לשוב ביטחון לחברת תצפיות</t>
  </si>
  <si>
    <t>סמל דרום ביטחון</t>
  </si>
  <si>
    <t>שו"ב עירוני תל מונד</t>
  </si>
  <si>
    <t>שמרד</t>
  </si>
  <si>
    <t>רון</t>
  </si>
  <si>
    <t>עלית ביטחון</t>
  </si>
  <si>
    <t xml:space="preserve">אליאב </t>
  </si>
  <si>
    <t>שער המדע רחובות</t>
  </si>
  <si>
    <t>חנה וסע חניון בייט ירושלים</t>
  </si>
  <si>
    <t xml:space="preserve">עובדיה קקון </t>
  </si>
  <si>
    <t>אנילוג אשדוד</t>
  </si>
  <si>
    <t xml:space="preserve">פרויקט  שדרוג ג'נסיס </t>
  </si>
  <si>
    <t>מקורות צפון</t>
  </si>
  <si>
    <t>ניסים כהן</t>
  </si>
  <si>
    <t>מרכז מסחרי שבירו הוד השרון</t>
  </si>
  <si>
    <t>שם המתקין זה דנאור ושם קבלן החשמל זה חשקל</t>
  </si>
  <si>
    <t>אורות פנינה שוב</t>
  </si>
  <si>
    <t>מפת חדרים עובר חוות רנן</t>
  </si>
  <si>
    <t>סלאם</t>
  </si>
  <si>
    <t>salem@aidcann.com</t>
  </si>
  <si>
    <t>מערכת שוב אפריקה אלביט</t>
  </si>
  <si>
    <t>300010272-מערכת שוב אפריקה אלביט</t>
  </si>
  <si>
    <t>מעונות סטודנטים רחובות</t>
  </si>
  <si>
    <t>מוטי שריד \ גמליאלי חשמל</t>
  </si>
  <si>
    <t>פארק העברית</t>
  </si>
  <si>
    <t>300010275-פארק העברית</t>
  </si>
  <si>
    <t>מלון לאון</t>
  </si>
  <si>
    <t>300010273-מלון לאון</t>
  </si>
  <si>
    <t>מיגון ובקרה אתרים קזחסטן</t>
  </si>
  <si>
    <t>סלבה בזמן</t>
  </si>
  <si>
    <t>300010278-הירקון 2</t>
  </si>
  <si>
    <t>נשלח הצעה מחיר מקבילה לבינת + ירקון 1</t>
  </si>
  <si>
    <t>חצי חינם</t>
  </si>
  <si>
    <t>300010279-חצי חינם</t>
  </si>
  <si>
    <t>מיגון ישובים בתאל</t>
  </si>
  <si>
    <t>300010280-מיגון ישובים בתאל</t>
  </si>
  <si>
    <t>שמעון אביב מערכות</t>
  </si>
  <si>
    <t>לבנדה 53</t>
  </si>
  <si>
    <t>300010281-לבנדה 53</t>
  </si>
  <si>
    <t>אורטל דהן</t>
  </si>
  <si>
    <t>פרויקט מהרס"ים</t>
  </si>
  <si>
    <t>300010282-פרויקט מהרס"ים</t>
  </si>
  <si>
    <t>מוטי שושן</t>
  </si>
  <si>
    <t>נסגר אם טופ סקיין</t>
  </si>
  <si>
    <t>לנדא</t>
  </si>
  <si>
    <t>300010283-לנדא</t>
  </si>
  <si>
    <t>אלון שטר</t>
  </si>
  <si>
    <t>מערכת שוב הסדה אנרג'ין</t>
  </si>
  <si>
    <t>300010284-מערכת שוב הסדה אנרג'ין</t>
  </si>
  <si>
    <t>מערכת לוגיסטית רכבת ישראל</t>
  </si>
  <si>
    <t>300010276-מערכת לוגיסטית רכבת ישראל</t>
  </si>
  <si>
    <t>משטרת שפרעם</t>
  </si>
  <si>
    <t>איתמר</t>
  </si>
  <si>
    <t>הוגש הצעה לT&amp;M</t>
  </si>
  <si>
    <t>מקורות אשקלון</t>
  </si>
  <si>
    <t>agamproject שמעון</t>
  </si>
  <si>
    <t>מיגון כוכב הירדן</t>
  </si>
  <si>
    <t>שמואל אגמון</t>
  </si>
  <si>
    <t>משרד הביטחון שו"ב</t>
  </si>
  <si>
    <t>לקמפוס של דסקונט כאל</t>
  </si>
  <si>
    <t>אשקלון שו"ב</t>
  </si>
  <si>
    <t xml:space="preserve">ניר עוז </t>
  </si>
  <si>
    <t>עבר לבינת</t>
  </si>
  <si>
    <t>שפע HP</t>
  </si>
  <si>
    <t>נרייה</t>
  </si>
  <si>
    <t>מרכז בישול גונן</t>
  </si>
  <si>
    <t>צימפיון מוטורס</t>
  </si>
  <si>
    <t>יאיר בר גיל</t>
  </si>
  <si>
    <t>יאיר</t>
  </si>
  <si>
    <t xml:space="preserve"> דיור מוגן עד 120- מוצקין</t>
  </si>
  <si>
    <t xml:space="preserve">אינטרגרין 3 </t>
  </si>
  <si>
    <t>אדיר</t>
  </si>
  <si>
    <t>קרית הממשלה נתניה</t>
  </si>
  <si>
    <t>טל בן טובים</t>
  </si>
  <si>
    <t>קניון פתח תקווה</t>
  </si>
  <si>
    <t>ביג אשדוד</t>
  </si>
  <si>
    <t>פרוטקט רכבה</t>
  </si>
  <si>
    <t>יוסי</t>
  </si>
  <si>
    <t>נשלחה הצעה במקביל לשמרד, בינת</t>
  </si>
  <si>
    <t>עמדת קיוסק מגדלי TOHA</t>
  </si>
  <si>
    <t>רונן</t>
  </si>
  <si>
    <t>מטרוטק - בקרת מבנה</t>
  </si>
  <si>
    <t>נפל קונטל לקחו ב 90K</t>
  </si>
  <si>
    <t>בניין סיבים איחוד מערכות</t>
  </si>
  <si>
    <t>מרלוג H&amp;M</t>
  </si>
  <si>
    <t>עמוס שוורצון</t>
  </si>
  <si>
    <t>בורסת היהלומים</t>
  </si>
  <si>
    <t>המכרז בוטל</t>
  </si>
  <si>
    <t>מכרז מרכזי להוספת שירותים לשוק הדיגיטלי הממשלתי בענן (רובד 5)</t>
  </si>
  <si>
    <t>מגדלי עלית שוב</t>
  </si>
  <si>
    <t>אופיר</t>
  </si>
  <si>
    <t xml:space="preserve"> ofir@networkit.co.il</t>
  </si>
  <si>
    <t>אשלים PLOT A</t>
  </si>
  <si>
    <t xml:space="preserve">יוסי גולן  </t>
  </si>
  <si>
    <t>פיס חולון ביטחון</t>
  </si>
  <si>
    <t>אצטדיון כרמי גת</t>
  </si>
  <si>
    <t>קמפוס עין כרם</t>
  </si>
  <si>
    <t xml:space="preserve">Ory Lazarovitch </t>
  </si>
  <si>
    <t>ori@aorp.co.il</t>
  </si>
  <si>
    <t>אגד בקרת מבנה</t>
  </si>
  <si>
    <t>שוב סופרסל</t>
  </si>
  <si>
    <t>יוסי גולן</t>
  </si>
  <si>
    <t>פועלים סנטר</t>
  </si>
  <si>
    <t>מערכת שוב אתרי נובה</t>
  </si>
  <si>
    <t>300010318-מערכת שוב אתרי נובה</t>
  </si>
  <si>
    <t>הילה</t>
  </si>
  <si>
    <t>ג' סיטי - לישנסקי3</t>
  </si>
  <si>
    <t>מפטגון שוב משרד</t>
  </si>
  <si>
    <t>מיקי לאבי</t>
  </si>
  <si>
    <t>פז מערכת שליטה אש</t>
  </si>
  <si>
    <t>מחירון קבוצת אשד</t>
  </si>
  <si>
    <t>אורון כהן</t>
  </si>
  <si>
    <t>oronco@eshed-m.co.il</t>
  </si>
  <si>
    <t>שוב לישובי עוטף</t>
  </si>
  <si>
    <t xml:space="preserve">אנבידיה מבוא כרמל </t>
  </si>
  <si>
    <t>תוספות קריה</t>
  </si>
  <si>
    <t>קרסו יבנה בקרה</t>
  </si>
  <si>
    <t>מגדל לקסוס ת"א</t>
  </si>
  <si>
    <t>מאור</t>
  </si>
  <si>
    <t>הצעת מחיר לאלקטרה -ביטחון
מערכת מבנה אינטר</t>
  </si>
  <si>
    <t>קיבוץ מגן</t>
  </si>
  <si>
    <t>ויתיניה ת"א</t>
  </si>
  <si>
    <t>ויתיניה</t>
  </si>
  <si>
    <t>אפקון זכו</t>
  </si>
  <si>
    <t>ויתיניה ת"א שוב אש</t>
  </si>
  <si>
    <t>איכילוב שוב</t>
  </si>
  <si>
    <t>יגאל אלון53 בקרה</t>
  </si>
  <si>
    <t>מערכת שוב גנרי 2 החלפה</t>
  </si>
  <si>
    <t>שחר</t>
  </si>
  <si>
    <t>ישוב אמציה</t>
  </si>
  <si>
    <t>אוריין מודיעין- בקר אינדיקציות מחסומים</t>
  </si>
  <si>
    <t>עודד שולמן / ניר דרלי</t>
  </si>
  <si>
    <t>אפשרות שההצעה תיקטן בחצי</t>
  </si>
  <si>
    <t>מכרז עיריית רעננה</t>
  </si>
  <si>
    <t>G1 זכו</t>
  </si>
  <si>
    <t xml:space="preserve"> מכרז מעלה כרמל - שו"ב</t>
  </si>
  <si>
    <t>NEXTCOM</t>
  </si>
  <si>
    <t>שלומי כהן</t>
  </si>
  <si>
    <t>עיריית נהריה</t>
  </si>
  <si>
    <t>גולדברנדס</t>
  </si>
  <si>
    <t>עמיחי קרן</t>
  </si>
  <si>
    <t>מערכת שוב ביטחון מקורות</t>
  </si>
  <si>
    <t>ישראל דנינו - מוטורולה</t>
  </si>
  <si>
    <t>מחירון למקורות</t>
  </si>
  <si>
    <t>האוניברסיטה המורמונית</t>
  </si>
  <si>
    <t>רועי מלר</t>
  </si>
  <si>
    <t>תוה"א 2 - מכרז בקרת מבנה</t>
  </si>
  <si>
    <r>
      <t>אירה אורן</t>
    </r>
    <r>
      <rPr>
        <sz val="9"/>
        <color rgb="FF1F497D"/>
        <rFont val="Arial"/>
        <family val="2"/>
      </rPr>
      <t xml:space="preserve"> </t>
    </r>
  </si>
  <si>
    <t>מיגון אתר קרמר</t>
  </si>
  <si>
    <t>יריב SNTA</t>
  </si>
  <si>
    <t xml:space="preserve">בית נועם </t>
  </si>
  <si>
    <t>אלטל מאמן טקטי</t>
  </si>
  <si>
    <t>שרון לסקוב</t>
  </si>
  <si>
    <t>פועלים סנטר - בקרת מבנה</t>
  </si>
  <si>
    <t>שי אללוף</t>
  </si>
  <si>
    <t>פרוייקט G ראשל"צ</t>
  </si>
  <si>
    <t>דיור מוגן עד 120 קרית מוצקין בקרת מבנה</t>
  </si>
  <si>
    <t>סקר אתר תנובה רחובות</t>
  </si>
  <si>
    <t>אפקון מבצעים</t>
  </si>
  <si>
    <t>רמת הנגב החלפה PSIM</t>
  </si>
  <si>
    <t>טופ סקיילין לא רציניים</t>
  </si>
  <si>
    <t>ICL בניין באר שבע</t>
  </si>
  <si>
    <t>מד 1 רמלה בטחון</t>
  </si>
  <si>
    <t>רשף\מגאסון\בינת</t>
  </si>
  <si>
    <t>מיגון ממ</t>
  </si>
  <si>
    <t>ארז ששון</t>
  </si>
  <si>
    <t>מערכת שו"ב אתר מיוחד</t>
  </si>
  <si>
    <t>פלמחים שוב אש</t>
  </si>
  <si>
    <t>מקדוניה גבולות</t>
  </si>
  <si>
    <t>הגנת גבולות + הרחבה עיר בטוחה</t>
  </si>
  <si>
    <t>טוליפמן</t>
  </si>
  <si>
    <t xml:space="preserve">ערן צרפתי </t>
  </si>
  <si>
    <t>בניין סלקום נתניה</t>
  </si>
  <si>
    <t>QCYBER</t>
  </si>
  <si>
    <t>גיא TEAM1</t>
  </si>
  <si>
    <t>ביטחון-23000 בקרה 60000</t>
  </si>
  <si>
    <t>בקרת כניסה כנסת</t>
  </si>
  <si>
    <t>מר גרופ</t>
  </si>
  <si>
    <t>פליקס</t>
  </si>
  <si>
    <t>משכית 1-3 - הקמת חניון</t>
  </si>
  <si>
    <t>בלינסון מבנה חדש</t>
  </si>
  <si>
    <t>אריק</t>
  </si>
  <si>
    <t>חלונות סיטי</t>
  </si>
  <si>
    <t>מאיר</t>
  </si>
  <si>
    <t>שלב א סקר אתר</t>
  </si>
  <si>
    <t>הרחבה FC</t>
  </si>
  <si>
    <t>מיגון חהא</t>
  </si>
  <si>
    <t>אלטל</t>
  </si>
  <si>
    <t>מיגון טלנוף</t>
  </si>
  <si>
    <t>גריאטרי בני ברק- גילוי אש ובקרה</t>
  </si>
  <si>
    <t>שוב ערוני חדרה</t>
  </si>
  <si>
    <t>יעקוב מאיר</t>
  </si>
  <si>
    <t>מיגון קפרסין</t>
  </si>
  <si>
    <t>רועי</t>
  </si>
  <si>
    <t>יצאה הצעת מחיר לIQSYSTEMS,אלפר,פרוטקט</t>
  </si>
  <si>
    <t xml:space="preserve"> מערכת שו"ב עבור נתג"ז</t>
  </si>
  <si>
    <t>החלפת מערכת שוב בזן</t>
  </si>
  <si>
    <t>מערכת מדידת טמפ בנק אפריקה</t>
  </si>
  <si>
    <t>ירון צינו</t>
  </si>
  <si>
    <t>בית עורק פתח תקוה</t>
  </si>
  <si>
    <t>זימון מבקרים - אוסם</t>
  </si>
  <si>
    <t>הפרויקט מיועד להתחיל ב 1/1/2025 יצאה הצעה עדכנית</t>
  </si>
  <si>
    <t xml:space="preserve">R&amp;Design מוקד בטחון </t>
  </si>
  <si>
    <t>רועי ששי</t>
  </si>
  <si>
    <t>בית חולים סורוקה מוקד</t>
  </si>
  <si>
    <t>עיר בטוחה בת אל</t>
  </si>
  <si>
    <t>מגל</t>
  </si>
  <si>
    <t>אלרד מילר</t>
  </si>
  <si>
    <t>עמית הורוביץ</t>
  </si>
  <si>
    <t xml:space="preserve">מגט תעשיות בע"מ </t>
  </si>
  <si>
    <t>דרור</t>
  </si>
  <si>
    <t>מלון מנדרין שו"ב</t>
  </si>
  <si>
    <t>עידן אילן</t>
  </si>
  <si>
    <t>שדרוג שוב אש</t>
  </si>
  <si>
    <t xml:space="preserve">שדרוג 5 אתרים מ SEE לסנייפר </t>
  </si>
  <si>
    <t>מעלה הכרמל</t>
  </si>
  <si>
    <t>שמרד זכו</t>
  </si>
  <si>
    <t>בנושא תוכנת שו"ב  - עיריית ת"א</t>
  </si>
  <si>
    <t>שלב RFI</t>
  </si>
  <si>
    <t>עזריאלי  חולון</t>
  </si>
  <si>
    <t>מתחם עתידים</t>
  </si>
  <si>
    <t>מודול לזימון אורחים + קיוסק דיור ממשלתי נתניה</t>
  </si>
  <si>
    <t>אושירה באר שבע</t>
  </si>
  <si>
    <t>30/010/2024</t>
  </si>
  <si>
    <t>שי רחמים</t>
  </si>
  <si>
    <t>שוב אש מקדוניה</t>
  </si>
  <si>
    <t>מישה</t>
  </si>
  <si>
    <t>תהא 2 בטחון</t>
  </si>
  <si>
    <t>מרלוג HM</t>
  </si>
  <si>
    <t>אבנר בן אריה</t>
  </si>
  <si>
    <t>מטמנה עברון</t>
  </si>
  <si>
    <t>פרויקט DHL</t>
  </si>
  <si>
    <t>ילד מגנט</t>
  </si>
  <si>
    <t>קניון רננים תוספת ספירת קהל</t>
  </si>
  <si>
    <t>יניב קרמי</t>
  </si>
  <si>
    <t>משטרת ישראל</t>
  </si>
  <si>
    <t>בוטל המכרז</t>
  </si>
  <si>
    <t>שוב אש מנורה</t>
  </si>
  <si>
    <t>שוב אש רפאל</t>
  </si>
  <si>
    <t>מערכת שטיפה הרחבה</t>
  </si>
  <si>
    <t>ממשק למערכת UHF
הרחבת מערכת שטיפה לחיפה</t>
  </si>
  <si>
    <t>שער מנשה</t>
  </si>
  <si>
    <t>קמפוס אמי"ת</t>
  </si>
  <si>
    <t>דני גיבל</t>
  </si>
  <si>
    <t>נתיב מהיר כביש 5</t>
  </si>
  <si>
    <t xml:space="preserve">תיקון נזק קניון רננים בקרת מבנה </t>
  </si>
  <si>
    <t>דודי</t>
  </si>
  <si>
    <t>מוקד צופה  ג-ו פתרונות אבטחה</t>
  </si>
  <si>
    <t>חושן מיגון צהלי</t>
  </si>
  <si>
    <t xml:space="preserve">תיקון נזק מצלמות קניון רננים </t>
  </si>
  <si>
    <t>מדיקל אשדוד מבנה ובקרה</t>
  </si>
  <si>
    <t xml:space="preserve">גאלי נחמיה עבודות חשמל </t>
  </si>
  <si>
    <t>פרויקט עילית מודול זימון אורחים</t>
  </si>
  <si>
    <t>אדם</t>
  </si>
  <si>
    <t>רכבת ישראל שוב</t>
  </si>
  <si>
    <t>חדשנות- אבי סוויד</t>
  </si>
  <si>
    <t>שוב אש אייקון</t>
  </si>
  <si>
    <t>חיבור למערכת שוב מקומית</t>
  </si>
  <si>
    <t>ביישובי מוא"ז גולן</t>
  </si>
  <si>
    <t>זכיין טופסקיילן</t>
  </si>
  <si>
    <t>שוב ביטחון רכבת אלביט</t>
  </si>
  <si>
    <t>מני פרץ</t>
  </si>
  <si>
    <t>uvision עמק חפר</t>
  </si>
  <si>
    <t xml:space="preserve">מיגון אתרים YTCOM </t>
  </si>
  <si>
    <t>שלמה YTCOM</t>
  </si>
  <si>
    <t>מיגון שלומי</t>
  </si>
  <si>
    <t>בינת\רשף\שמרד</t>
  </si>
  <si>
    <t>מערכת זימון אורחים סקיי טאוור</t>
  </si>
  <si>
    <t>מני סרור</t>
  </si>
  <si>
    <t>מטורטק בטחון</t>
  </si>
  <si>
    <t>מיגון ישובי הצפון</t>
  </si>
  <si>
    <t>זוכה טופסקליין</t>
  </si>
  <si>
    <t>בנק פועלים סניפים</t>
  </si>
  <si>
    <t>הרחבת רישוי לסניפי הבנק - 10K לסניף - כ 100 סנפים בשנה עד 300 סניפים</t>
  </si>
  <si>
    <t>יובלים אשדוד</t>
  </si>
  <si>
    <t>יעקב לוי</t>
  </si>
  <si>
    <t xml:space="preserve">טופ סקיילין </t>
  </si>
  <si>
    <t xml:space="preserve">רימון ארונות בקרה </t>
  </si>
  <si>
    <t>רביד</t>
  </si>
  <si>
    <t>אינפיניטי תוספות בקרה</t>
  </si>
  <si>
    <t>רום גבס</t>
  </si>
  <si>
    <t>נשלחה הצעה גם לבינת</t>
  </si>
  <si>
    <t>סודה סטרים שו"ב אש</t>
  </si>
  <si>
    <t>בקרה מבנה אוניברסיטת בן גוריון</t>
  </si>
  <si>
    <t xml:space="preserve">אמיר נחמן </t>
  </si>
  <si>
    <t xml:space="preserve">משרד האוצר נתניה </t>
  </si>
  <si>
    <t xml:space="preserve">קובי </t>
  </si>
  <si>
    <t>ממשק לקיר וידיאו</t>
  </si>
  <si>
    <t>שדרוג שוב אש מכללת נתניה</t>
  </si>
  <si>
    <t>שוב אש  אריאל</t>
  </si>
  <si>
    <t>שו"ב אש אוני חיפה</t>
  </si>
  <si>
    <t>אוריין לב הארץ 1 - בקרת טמפרטורהV2</t>
  </si>
  <si>
    <t>אורן / עודד שולמן</t>
  </si>
  <si>
    <t>ביוטכנלוגיות</t>
  </si>
  <si>
    <t>שוב אש באר שבע</t>
  </si>
  <si>
    <t>מערכת שוב אש אפריקה</t>
  </si>
  <si>
    <t>מערכת שוב אש עבודה מול יאיר ברגיל</t>
  </si>
  <si>
    <t>משכל 2025</t>
  </si>
  <si>
    <t>ספירלה עזריאלי</t>
  </si>
  <si>
    <t>בינת\אלקטרה\אפקון</t>
  </si>
  <si>
    <t>מכרז חח"י LPR</t>
  </si>
  <si>
    <t>כוכב</t>
  </si>
  <si>
    <t>מטורולה זכו</t>
  </si>
  <si>
    <t xml:space="preserve"> שו"ב אש מוזאון הכנסת </t>
  </si>
  <si>
    <t>שטראוס שוב אש</t>
  </si>
  <si>
    <t>אבי סוויד</t>
  </si>
  <si>
    <t xml:space="preserve">בית הכרם </t>
  </si>
  <si>
    <t xml:space="preserve">שלומי שפי </t>
  </si>
  <si>
    <t xml:space="preserve">בלינסון G1 תוספת דלתות </t>
  </si>
  <si>
    <t xml:space="preserve">ציון מזרחי </t>
  </si>
  <si>
    <t>בית חולים בבית שמש</t>
  </si>
  <si>
    <t xml:space="preserve">קריה </t>
  </si>
  <si>
    <t>כוכב כהן</t>
  </si>
  <si>
    <t>חוות תל נוף</t>
  </si>
  <si>
    <t>שדרוג שוב אש אוני בעברית</t>
  </si>
  <si>
    <t>טרמינל סנטר 3</t>
  </si>
  <si>
    <t>300010471-טרמינל סנטר 3</t>
  </si>
  <si>
    <t>280000 -מערכת חשמל טלפייר+250000 מערכתז"א לדניה</t>
  </si>
  <si>
    <t>ממשק למערכת גילוי אש</t>
  </si>
  <si>
    <t>עמית שגיב</t>
  </si>
  <si>
    <t>ממקש למערכת גילוי אש EMNI</t>
  </si>
  <si>
    <t>איכילוב בניין צפוני</t>
  </si>
  <si>
    <t>מוקד ערוני באר שבע</t>
  </si>
  <si>
    <t>בינת יישום ואפקון -מכרז בוטל</t>
  </si>
  <si>
    <t>ברינקס בני ברק BMS</t>
  </si>
  <si>
    <t xml:space="preserve">אבי </t>
  </si>
  <si>
    <t>אין תקציב</t>
  </si>
  <si>
    <t>מכרז הנגב והגליל</t>
  </si>
  <si>
    <t>עוזי</t>
  </si>
  <si>
    <t xml:space="preserve">המנופים 1 </t>
  </si>
  <si>
    <t>איגוד ערים - יו"ש</t>
  </si>
  <si>
    <t>בועז</t>
  </si>
  <si>
    <t>אוניברסיטת בר אילן שוב</t>
  </si>
  <si>
    <t>חישולי הכרמל</t>
  </si>
  <si>
    <t>מרלוג קסריה</t>
  </si>
  <si>
    <t>ליאור</t>
  </si>
  <si>
    <t>פרויקט X רומניה</t>
  </si>
  <si>
    <t>GIV SOLUTIONS</t>
  </si>
  <si>
    <t xml:space="preserve">גריאטרי בבני ברק </t>
  </si>
  <si>
    <t>מערכת פריצה ROM</t>
  </si>
  <si>
    <t>אבי רום</t>
  </si>
  <si>
    <t>המשביר 1, חולון</t>
  </si>
  <si>
    <t>ניב אטיאס,חברת עלית אודיו בע"מ נייד: 0505-787-787</t>
  </si>
  <si>
    <t>300010469-מוקד פאלפון</t>
  </si>
  <si>
    <t>רשות הגירה הרחבה</t>
  </si>
  <si>
    <t>מוקד שערי צדק</t>
  </si>
  <si>
    <t>שוב אש אפריקה</t>
  </si>
  <si>
    <t xml:space="preserve"> קמפוס יוניון מעוין  ראשון לציון</t>
  </si>
  <si>
    <t>הראל זימון אורחים</t>
  </si>
  <si>
    <t>זימון אורחים</t>
  </si>
  <si>
    <t xml:space="preserve">שוב_מחירון_ממשק מבצר </t>
  </si>
  <si>
    <t>מבצר</t>
  </si>
  <si>
    <t>צחי מור</t>
  </si>
  <si>
    <t>דיור מוגן עד 120 נס ציונה</t>
  </si>
  <si>
    <t xml:space="preserve">אוליו בת ים </t>
  </si>
  <si>
    <t>דני</t>
  </si>
  <si>
    <t xml:space="preserve">אפקון זכו </t>
  </si>
  <si>
    <t>אורשר אשדוד</t>
  </si>
  <si>
    <t>יוסי ירון</t>
  </si>
  <si>
    <t>מיגון אתרי חושן</t>
  </si>
  <si>
    <t>מיגון אלפאר</t>
  </si>
  <si>
    <t xml:space="preserve">בית איילון, רג </t>
  </si>
  <si>
    <t>משרד המשפטים ביטחון</t>
  </si>
  <si>
    <t>גריאטרי בבני ברק ביטחון</t>
  </si>
  <si>
    <t>מכרז AVNET</t>
  </si>
  <si>
    <t>אל</t>
  </si>
  <si>
    <t>יצאה הצעה ל מר וCBRR</t>
  </si>
  <si>
    <t>ML</t>
  </si>
  <si>
    <t>VOD משרד משרד המשפטים</t>
  </si>
  <si>
    <t>גילוי אש משרד רהמ</t>
  </si>
  <si>
    <t>המנופים 3 הרצליה</t>
  </si>
  <si>
    <t>אילן עידן</t>
  </si>
  <si>
    <t>האוניברסיטה העברית - בנין ננוקוואנטום</t>
  </si>
  <si>
    <t>מערכת לניהול משרד רהמ</t>
  </si>
  <si>
    <t>מול גיב סולושין</t>
  </si>
  <si>
    <t>מיפל קיסריה</t>
  </si>
  <si>
    <t xml:space="preserve">MADE1 </t>
  </si>
  <si>
    <t>ירושלים של אור</t>
  </si>
  <si>
    <t>שי נאור</t>
  </si>
  <si>
    <t>טאליס שי נאור</t>
  </si>
  <si>
    <t>בתי המשפט הרצליה ופתח תקוה</t>
  </si>
  <si>
    <t>בית מלון בטבריה אמנון</t>
  </si>
  <si>
    <t>סוכריות בקריה</t>
  </si>
  <si>
    <t>שראל מוקד</t>
  </si>
  <si>
    <t>יסודות המעלה</t>
  </si>
  <si>
    <t>צליל פרו וויזי'ן</t>
  </si>
  <si>
    <t>מערכת שוב בניין</t>
  </si>
  <si>
    <t>עיר בטוחה נס ציונה</t>
  </si>
  <si>
    <t xml:space="preserve">מוקד קהילות </t>
  </si>
  <si>
    <t>גאי שחר</t>
  </si>
  <si>
    <t>מול משהב</t>
  </si>
  <si>
    <t xml:space="preserve">אל ספורט </t>
  </si>
  <si>
    <t xml:space="preserve">יגאל -אל ספורט </t>
  </si>
  <si>
    <t>בית החורש</t>
  </si>
  <si>
    <t>מערכת לניהול מרינה</t>
  </si>
  <si>
    <t>אשר דבש</t>
  </si>
  <si>
    <t>בבל קומה 33</t>
  </si>
  <si>
    <t>מוקד נתיבי ישראל מסוף תחבורה צבורית</t>
  </si>
  <si>
    <t>יובל אלון - גורדון יועצים</t>
  </si>
  <si>
    <t>מכרז פומבי</t>
  </si>
  <si>
    <t>שפד"ן</t>
  </si>
  <si>
    <t>בית נמרודי (7 כוכים)</t>
  </si>
  <si>
    <t xml:space="preserve"> גילוי וכיבוי רפאל</t>
  </si>
  <si>
    <t>שוב ערוני קרית שמונה</t>
  </si>
  <si>
    <t>מכרז תחנת אנרגיה</t>
  </si>
  <si>
    <t>בית אגד</t>
  </si>
  <si>
    <t>ערבה תיכונה</t>
  </si>
  <si>
    <t>אסף ירושלמי</t>
  </si>
  <si>
    <t>בית 12</t>
  </si>
  <si>
    <t xml:space="preserve"> משרד הבריאות הנצרת </t>
  </si>
  <si>
    <t xml:space="preserve">סולי </t>
  </si>
  <si>
    <t>תחנת חשמל חגית</t>
  </si>
  <si>
    <t>מרכז רפואי, הגבעה 700</t>
  </si>
  <si>
    <t>אבי שרבינטר פרפקט מערכת</t>
  </si>
  <si>
    <t>גינרי ירושלים</t>
  </si>
  <si>
    <t>קובי חסון</t>
  </si>
  <si>
    <t>נוף ים איכות הסביבה</t>
  </si>
  <si>
    <t>מכרז משטרה</t>
  </si>
  <si>
    <t>תאגיד מעיינות אתא</t>
  </si>
  <si>
    <t>תנובה אש</t>
  </si>
  <si>
    <t>שוהם חוות שרתים MDC</t>
  </si>
  <si>
    <t>JFrog</t>
  </si>
  <si>
    <t>בורסה לנירות ערך</t>
  </si>
  <si>
    <t>teamone</t>
  </si>
  <si>
    <t>כללית מוקד ראשי</t>
  </si>
  <si>
    <t>אלכס לסניק</t>
  </si>
  <si>
    <t>שכטרמן חוות שרתים</t>
  </si>
  <si>
    <t>מערכת שו"ב סורוקה</t>
  </si>
  <si>
    <t>אמיתי פרנל</t>
  </si>
  <si>
    <t>חיבור צילרים חדשים קניון רננים</t>
  </si>
  <si>
    <t>פטר אסטקוב</t>
  </si>
  <si>
    <t>מכרז רהמ</t>
  </si>
  <si>
    <t>כנסת ישראל</t>
  </si>
  <si>
    <t>בביה"מ שלום בפ"ת</t>
  </si>
  <si>
    <t>מלמ תים</t>
  </si>
  <si>
    <t>גידי</t>
  </si>
  <si>
    <t>אוריין הרחבה</t>
  </si>
  <si>
    <t>איקו</t>
  </si>
  <si>
    <t>אורשר אשדוד פריצה</t>
  </si>
  <si>
    <t>בני</t>
  </si>
  <si>
    <t>יוניון שורק</t>
  </si>
  <si>
    <t>טיב טעם מרלוג</t>
  </si>
  <si>
    <t xml:space="preserve"> פיתוח ממשק לרכבת ישראל MER </t>
  </si>
  <si>
    <t>בר</t>
  </si>
  <si>
    <t>קרסו ויתניה בניין A</t>
  </si>
  <si>
    <t>אלי עמראני</t>
  </si>
  <si>
    <t>5.2.2026</t>
  </si>
  <si>
    <t>בית אמרון</t>
  </si>
  <si>
    <t>אביתר</t>
  </si>
  <si>
    <t>אנבידיה מבוא כרמל</t>
  </si>
  <si>
    <t>נריה</t>
  </si>
  <si>
    <t>תחנת רוטנברג - שוב אש</t>
  </si>
  <si>
    <t>אייל</t>
  </si>
  <si>
    <t>תוספת רישוי ושירות</t>
  </si>
  <si>
    <t>טאליס - זהב מעבדות</t>
  </si>
  <si>
    <t>איילון ביטוח</t>
  </si>
  <si>
    <t xml:space="preserve"> מדיקל סנטר</t>
  </si>
  <si>
    <t xml:space="preserve">אריאל שוורצמן </t>
  </si>
  <si>
    <t>מערכת גילוי אש</t>
  </si>
  <si>
    <t>מטרו צילה</t>
  </si>
  <si>
    <t>טלפייר רנה</t>
  </si>
  <si>
    <t>גב ים שו"ב אש הרצליה</t>
  </si>
  <si>
    <t>מחיר לא סופי</t>
  </si>
  <si>
    <t>מהרסים שו"ב</t>
  </si>
  <si>
    <t>לאומי קול - ראשון לציון</t>
  </si>
  <si>
    <t>עופר</t>
  </si>
  <si>
    <t>זימון מבקרים - תחנת אשלים בנגב</t>
  </si>
  <si>
    <t>טמפו יקום</t>
  </si>
  <si>
    <t>אלביט גבולות</t>
  </si>
  <si>
    <t>ניסים לוי</t>
  </si>
  <si>
    <t>מערכת ניהול מבקרים NESS</t>
  </si>
  <si>
    <t>כרמים סנטר אשקלון</t>
  </si>
  <si>
    <t>מיתר</t>
  </si>
  <si>
    <t>אילן</t>
  </si>
  <si>
    <t xml:space="preserve">   </t>
  </si>
  <si>
    <t>אבי לוי</t>
  </si>
  <si>
    <t>YSB ליד בקרה</t>
  </si>
  <si>
    <t>מוקד מטרה</t>
  </si>
  <si>
    <t>בינת תקשורת</t>
  </si>
  <si>
    <t>סמוקי מערכות מתח נמוך</t>
  </si>
  <si>
    <t>מגלקום</t>
  </si>
  <si>
    <t>J&amp;S - גקי ושלומי מיגון ואבטחה</t>
  </si>
  <si>
    <t xml:space="preserve">עומר-אביב פרוייקטים ובקרה </t>
  </si>
  <si>
    <t>2025  Lcontrol LTD</t>
  </si>
  <si>
    <t>ינואר - תכנון</t>
  </si>
  <si>
    <t>ינואר - ביצוע</t>
  </si>
  <si>
    <t>פברואר - תכנון</t>
  </si>
  <si>
    <t>פברואר - ביצוע</t>
  </si>
  <si>
    <t>מרס - תכנון</t>
  </si>
  <si>
    <t>מרס - ביצוע</t>
  </si>
  <si>
    <t>אפריל - תכנון</t>
  </si>
  <si>
    <t>אפריל - ביצוע</t>
  </si>
  <si>
    <t>מאי - תכנון</t>
  </si>
  <si>
    <t>מאי - ביצוע</t>
  </si>
  <si>
    <t>יוני - תכנון</t>
  </si>
  <si>
    <t>יוני - ביצוע</t>
  </si>
  <si>
    <t>יולי  - תכנון</t>
  </si>
  <si>
    <t>יולי  - ביצוע</t>
  </si>
  <si>
    <t>אוגוסט - תכנון</t>
  </si>
  <si>
    <t>אוגוסט - ביצוע</t>
  </si>
  <si>
    <t>ספטמבר - תכנון</t>
  </si>
  <si>
    <t>ספטמבר - ביצוע</t>
  </si>
  <si>
    <t>אוקטובר - תכנון</t>
  </si>
  <si>
    <t>אוקטובר - ביצוע</t>
  </si>
  <si>
    <t>נובמבר - תכנון</t>
  </si>
  <si>
    <t>נובמבר - ביצוע</t>
  </si>
  <si>
    <t>דצמבר - תכנון</t>
  </si>
  <si>
    <t>דצמבר - ביצוע</t>
  </si>
  <si>
    <t>סה"כ - תכנון</t>
  </si>
  <si>
    <t>סה"כ - ביצוע</t>
  </si>
  <si>
    <t>ש"ח</t>
  </si>
  <si>
    <t>ממוצע - תכנון</t>
  </si>
  <si>
    <t>ממוצע - ביצוע</t>
  </si>
  <si>
    <t>.</t>
  </si>
  <si>
    <t xml:space="preserve"> לקוחות</t>
  </si>
  <si>
    <t>שם פרויקט</t>
  </si>
  <si>
    <t>מייל לשליחת חשבונית</t>
  </si>
  <si>
    <t>SLA</t>
  </si>
  <si>
    <t>סוג פרויקט</t>
  </si>
  <si>
    <t>תנאי תשלום</t>
  </si>
  <si>
    <t>תחילת שירות</t>
  </si>
  <si>
    <t xml:space="preserve">סוף שירות </t>
  </si>
  <si>
    <t>מרס</t>
  </si>
  <si>
    <t xml:space="preserve">יולי </t>
  </si>
  <si>
    <t>סיכום</t>
  </si>
  <si>
    <t>איסתא</t>
  </si>
  <si>
    <t>שירות שנתי</t>
  </si>
  <si>
    <t>yanivcohen@issta.co.il</t>
  </si>
  <si>
    <t xml:space="preserve">רגיל </t>
  </si>
  <si>
    <t>תשלום רבעוני</t>
  </si>
  <si>
    <t>חידוש אוטו'</t>
  </si>
  <si>
    <t>החלפת מחשב</t>
  </si>
  <si>
    <t>עדכון תוכנה בבקר</t>
  </si>
  <si>
    <t>CQM</t>
  </si>
  <si>
    <t>מקורות</t>
  </si>
  <si>
    <t>udi@cqm-tech.com , ravit@cqm-tech.com</t>
  </si>
  <si>
    <t>תשלום חודשי</t>
  </si>
  <si>
    <t xml:space="preserve"> חיבור בית חולים זיו צפת</t>
  </si>
  <si>
    <t>תוספת אתרים</t>
  </si>
  <si>
    <t xml:space="preserve">לבדוק חוזה שירות </t>
  </si>
  <si>
    <t>תוספת</t>
  </si>
  <si>
    <t>דאקסטון קפיטל בע"מ</t>
  </si>
  <si>
    <t>סיטיקורט ירושלים</t>
  </si>
  <si>
    <t>tamar@opg.co.il</t>
  </si>
  <si>
    <t>אורשר/ ברותיים</t>
  </si>
  <si>
    <t>אורשר</t>
  </si>
  <si>
    <t>ברותיים</t>
  </si>
  <si>
    <t>אדמה</t>
  </si>
  <si>
    <t>benny.doner@adama.com</t>
  </si>
  <si>
    <t>חידוש רבעוני</t>
  </si>
  <si>
    <t>תבל דיפו פתח תקווה</t>
  </si>
  <si>
    <t>Marina.Lipkin@tevelmetro.co.il , AyeletSc@tevelmetro.co.il</t>
  </si>
  <si>
    <t>יקיר ניהול בר כוכבא</t>
  </si>
  <si>
    <t>yakir.office2@gmail.com</t>
  </si>
  <si>
    <t>מוקד ארצי</t>
  </si>
  <si>
    <t>Roy.z@team3.co.il</t>
  </si>
  <si>
    <t>שו"ב</t>
  </si>
  <si>
    <t>תשלום שנתי</t>
  </si>
  <si>
    <t>31.12.2026</t>
  </si>
  <si>
    <t>אלי אפשטיין</t>
  </si>
  <si>
    <t>elimelechrefatot@gmail.com</t>
  </si>
  <si>
    <t>alexki@bgu.ac.il</t>
  </si>
  <si>
    <t>11.3.2025</t>
  </si>
  <si>
    <t>11.03.2026</t>
  </si>
  <si>
    <t>מיגון ישובים</t>
  </si>
  <si>
    <t>ran.haviv@motorolasolutions.com</t>
  </si>
  <si>
    <t>29.12.2025</t>
  </si>
  <si>
    <t>אלה עזרה</t>
  </si>
  <si>
    <t xml:space="preserve">dudiezra3@gmail.com </t>
  </si>
  <si>
    <t>מתחדש אוט'</t>
  </si>
  <si>
    <t>גלוברנדס</t>
  </si>
  <si>
    <t>שו"ב בטחון</t>
  </si>
  <si>
    <t>29.12.2024</t>
  </si>
  <si>
    <t>ניאופרם</t>
  </si>
  <si>
    <t>tomer@neopharmgroup.com</t>
  </si>
  <si>
    <t>1013 אינטגרין</t>
  </si>
  <si>
    <t>moshe.a@intergreen.co.il</t>
  </si>
  <si>
    <t>אירונאוטיקס \פלנטק מדיקל</t>
  </si>
  <si>
    <t>nisim.c@team3.co.il</t>
  </si>
  <si>
    <t>1.1.2025</t>
  </si>
  <si>
    <t>בונדד אשדוד</t>
  </si>
  <si>
    <t>rafael.elbaz@ashdod-bonded.co.il</t>
  </si>
  <si>
    <t>30.12.2025</t>
  </si>
  <si>
    <t>פלנטיאה ביוסיינס בע״מ</t>
  </si>
  <si>
    <t>zvia.maimon@plantae.net</t>
  </si>
  <si>
    <t xml:space="preserve"> מפטגון</t>
  </si>
  <si>
    <t xml:space="preserve">מחש VOD </t>
  </si>
  <si>
    <t xml:space="preserve">שירות </t>
  </si>
  <si>
    <t>תוכנה כללי</t>
  </si>
  <si>
    <t>רבעוני</t>
  </si>
  <si>
    <t>01.01.26</t>
  </si>
  <si>
    <t>30.06.2026</t>
  </si>
  <si>
    <t xml:space="preserve">פרויקט המשך לפרויקט מ2019 PR25000021 </t>
  </si>
  <si>
    <t>רשות הגירה VOD</t>
  </si>
  <si>
    <t>01.01.2026</t>
  </si>
  <si>
    <t>SCO250000027 שינויים בתוכנה</t>
  </si>
  <si>
    <t>חד פעמי</t>
  </si>
  <si>
    <t>SCO250000027   תוכננה למערכת ניהול
חקירות</t>
  </si>
  <si>
    <t>Nextcom-עין זיוון</t>
  </si>
  <si>
    <t>שוב חווה סולארית</t>
  </si>
  <si>
    <t>משה חזן 0528663314</t>
  </si>
  <si>
    <t>1.1.2023</t>
  </si>
  <si>
    <t>31.12.2023</t>
  </si>
  <si>
    <t>טלפייר -גולן</t>
  </si>
  <si>
    <t>רמי לוי</t>
  </si>
  <si>
    <t>גולן - טלפייר</t>
  </si>
  <si>
    <t>שו"ב אש</t>
  </si>
  <si>
    <t>31.12.2025</t>
  </si>
  <si>
    <t>אוריין</t>
  </si>
  <si>
    <t>Eiko.Shachar@orian.com</t>
  </si>
  <si>
    <t>01.02.2026</t>
  </si>
  <si>
    <t>31.01.2027</t>
  </si>
  <si>
    <t xml:space="preserve">בקרת טמפרטורה במודיעין PR25000020 </t>
  </si>
  <si>
    <t>תוספת לפרויקט</t>
  </si>
  <si>
    <t>עבודות שירות- יום עבודה של מהנדס בקרה</t>
  </si>
  <si>
    <t>תוספת ניטור טמפ למודיעין עפ הזמנה 120165</t>
  </si>
  <si>
    <t>מכללת נתניה</t>
  </si>
  <si>
    <t>דודי 0508316072</t>
  </si>
  <si>
    <t>01.09.2025</t>
  </si>
  <si>
    <t>31.08.2026</t>
  </si>
  <si>
    <t>טלפייר</t>
  </si>
  <si>
    <t>מו"מ על חידוש חוזה</t>
  </si>
  <si>
    <t xml:space="preserve"> יאיר בר גיל</t>
  </si>
  <si>
    <t>אוליבקס</t>
  </si>
  <si>
    <t>7.7.2023</t>
  </si>
  <si>
    <t>מבנה רמות, חן קמור</t>
  </si>
  <si>
    <t>ישיר</t>
  </si>
  <si>
    <t>דרואו 0523493649</t>
  </si>
  <si>
    <t>17.07.2025</t>
  </si>
  <si>
    <t>17.07.2026</t>
  </si>
  <si>
    <t>בלינסון חניון-300010461</t>
  </si>
  <si>
    <t>תשלום מראש ל5 שנים</t>
  </si>
  <si>
    <t>1.1.2028</t>
  </si>
  <si>
    <t>בלינסון חדרי תקשורת</t>
  </si>
  <si>
    <t>תוספת- אגף מיון D04695</t>
  </si>
  <si>
    <t xml:space="preserve">תוספת- בניין דוידוף D04697 </t>
  </si>
  <si>
    <t>תוספת- אולטרדסאונד נשים D04694</t>
  </si>
  <si>
    <t>תוספת-MRI  D04696</t>
  </si>
  <si>
    <t>תוספת-חדר שרתים D04699</t>
  </si>
  <si>
    <t>תוספת- יולדות D04698</t>
  </si>
  <si>
    <t>בנק דיסקונט</t>
  </si>
  <si>
    <t>01.08.2025</t>
  </si>
  <si>
    <t>01.08.2026</t>
  </si>
  <si>
    <t>מערכת שטיפת קרונות</t>
  </si>
  <si>
    <t>1.1.25</t>
  </si>
  <si>
    <t>משטרה ירוקה</t>
  </si>
  <si>
    <t>30.12.2026</t>
  </si>
  <si>
    <t>מפטגון משרדים בקרת מבנה</t>
  </si>
  <si>
    <t>תקופת בדק</t>
  </si>
  <si>
    <t>01.01.2025</t>
  </si>
  <si>
    <t>קניון רננים ביטחון</t>
  </si>
  <si>
    <t>תשלום מראש ל3שנים</t>
  </si>
  <si>
    <t>30.12.27</t>
  </si>
  <si>
    <t>תוספת של בקר</t>
  </si>
  <si>
    <t>תנובה ניהול קבלנים</t>
  </si>
  <si>
    <t>אינסופקו טכנולוגיות בע"מ</t>
  </si>
  <si>
    <t>01.08.25</t>
  </si>
  <si>
    <t>31.07.26</t>
  </si>
  <si>
    <t>טלפייר מוסדי</t>
  </si>
  <si>
    <t xml:space="preserve">תחנת כח רוטנברג </t>
  </si>
  <si>
    <t>הרחבת מפות- תוספת של רכזות וגלאים</t>
  </si>
  <si>
    <t>בינת</t>
  </si>
  <si>
    <t>?</t>
  </si>
  <si>
    <t>נמל חיפה תוספת</t>
  </si>
  <si>
    <t>תוספת מצלמות</t>
  </si>
  <si>
    <t>תוספת חיבור מגוסים</t>
  </si>
  <si>
    <t>SANTA</t>
  </si>
  <si>
    <t>שפע מערכות (טלפייר גולן)</t>
  </si>
  <si>
    <t>פרויקט HP</t>
  </si>
  <si>
    <t>אינטראלקטריק</t>
  </si>
  <si>
    <t>Axis</t>
  </si>
  <si>
    <t>31.06.2025</t>
  </si>
  <si>
    <t>מערכת שו"ב יונירום</t>
  </si>
  <si>
    <t>פרוטק מרכבה</t>
  </si>
  <si>
    <t>ביג אשדוד (לקוח קצה)</t>
  </si>
  <si>
    <t>ruti.hanun@brinksinc.com</t>
  </si>
  <si>
    <t>שנת בדק</t>
  </si>
  <si>
    <t>13.11.2025</t>
  </si>
  <si>
    <t>קניוןן רננים ישירות</t>
  </si>
  <si>
    <t xml:space="preserve">קניון רננים </t>
  </si>
  <si>
    <t>סידור ותיקון תקלה במסכים, מקלדת ועכבר בחדר בקרה</t>
  </si>
  <si>
    <t>ם</t>
  </si>
  <si>
    <t>תוספת פירוק והתקנת מצלמה</t>
  </si>
  <si>
    <t>החלפת בקר</t>
  </si>
  <si>
    <t>תוספת בקר ללוח חשמל</t>
  </si>
  <si>
    <t>מקדוניה</t>
  </si>
  <si>
    <t>30.07.2025</t>
  </si>
  <si>
    <t>30.07.2026</t>
  </si>
  <si>
    <t>LCS</t>
  </si>
  <si>
    <t>לבדוק מזה</t>
  </si>
  <si>
    <t>שוב אש יקום</t>
  </si>
  <si>
    <t>ארדן טק</t>
  </si>
  <si>
    <t>זימון אורחים קריה</t>
  </si>
  <si>
    <t>17.02.2026</t>
  </si>
  <si>
    <t>17.02.2027</t>
  </si>
  <si>
    <t>אינטר אלק'</t>
  </si>
  <si>
    <t>גטי - הר חצבים</t>
  </si>
  <si>
    <t>30.12.2023</t>
  </si>
  <si>
    <t>אלפאר</t>
  </si>
  <si>
    <t>בשנת בדק</t>
  </si>
  <si>
    <t>300010286 - PR24000023</t>
  </si>
  <si>
    <t xml:space="preserve">NVIDIA </t>
  </si>
  <si>
    <t>תקופת בדק שירות רגיל</t>
  </si>
  <si>
    <t>תוספת (בטיפול שאול)</t>
  </si>
  <si>
    <t xml:space="preserve">מוטורלה-אינטגרציה </t>
  </si>
  <si>
    <t xml:space="preserve">נחל  שורק </t>
  </si>
  <si>
    <t>קנית השלום השקעות בע"מ (עזריאלי)</t>
  </si>
  <si>
    <t>מגרש 21</t>
  </si>
  <si>
    <t>תוספת עמדת צפייה+ חיבור מצלמות מועדון</t>
  </si>
  <si>
    <t>בטחון</t>
  </si>
  <si>
    <t>אין חוזה שירות</t>
  </si>
  <si>
    <t>29.09.2025</t>
  </si>
  <si>
    <t>29.09.2026</t>
  </si>
  <si>
    <t>תוספת עמדת צפייה+ חיבור לאפליקציה</t>
  </si>
  <si>
    <t>אל פאר</t>
  </si>
  <si>
    <t xml:space="preserve">כוכב הירדן </t>
  </si>
  <si>
    <t xml:space="preserve">עדכון תוכנה </t>
  </si>
  <si>
    <t xml:space="preserve">בטחון </t>
  </si>
  <si>
    <t xml:space="preserve">בלינסון </t>
  </si>
  <si>
    <t xml:space="preserve">אוריאן </t>
  </si>
  <si>
    <t>תוכניות קרית מלאכי</t>
  </si>
  <si>
    <t>חיוב ימי חופשה ירדן / אדיר</t>
  </si>
  <si>
    <t>אקסיס</t>
  </si>
  <si>
    <t>נייד : 0505229962
דוא"ל: axis@s-g.co.il</t>
  </si>
  <si>
    <t>תבל מטרו</t>
  </si>
  <si>
    <t>תוספת עמדת עבודה</t>
  </si>
  <si>
    <t>יריב- yarivbe@tevelmetro.co.il</t>
  </si>
  <si>
    <t>איתנים</t>
  </si>
  <si>
    <t>בשירות מול הלקוח קצה</t>
  </si>
  <si>
    <t>איתנים- המרכז הירושלמי לבריאות הנפש</t>
  </si>
  <si>
    <t>תוספת לפרויקט (ישירות מול הלקוח קצה)</t>
  </si>
  <si>
    <t>שוטף 30</t>
  </si>
  <si>
    <t>ליין ביט- בית השר</t>
  </si>
  <si>
    <t>תיקון באג מערכת מצלמות</t>
  </si>
  <si>
    <t>פלמ"ח טכנולוגיות בע"מ</t>
  </si>
  <si>
    <t>לקוח מזדמן- הגיע דרך ירדן (עסק שכר בבניין שלנו)</t>
  </si>
  <si>
    <t>צימפיון</t>
  </si>
  <si>
    <t>byair@bys.co.il</t>
  </si>
  <si>
    <t>02.12.2024</t>
  </si>
  <si>
    <t>02.12.2025</t>
  </si>
  <si>
    <t>מגרש 21 שירות שנתי</t>
  </si>
  <si>
    <t>arkadyl@electra.co.il</t>
  </si>
  <si>
    <t>29.09.25</t>
  </si>
  <si>
    <t>29.09.26</t>
  </si>
  <si>
    <t>תקלה בNVR</t>
  </si>
  <si>
    <t xml:space="preserve">תקשוב </t>
  </si>
  <si>
    <t>07.03.2026</t>
  </si>
  <si>
    <t>07.03.2027</t>
  </si>
  <si>
    <t>2 חשבוניות על 3 הדרכות בתקשוב</t>
  </si>
  <si>
    <t>יום עבודה תכנת</t>
  </si>
  <si>
    <t>תלפיות</t>
  </si>
  <si>
    <t>mnt.hatnufa@gmail.com
 יעקוב לוינשטין</t>
  </si>
  <si>
    <t>קרסו יבנה הקטן</t>
  </si>
  <si>
    <t>בקרת מבנה ושו"ב בטחון</t>
  </si>
  <si>
    <t>02.04.2024</t>
  </si>
  <si>
    <t>02.04.2026</t>
  </si>
  <si>
    <t>DHL</t>
  </si>
  <si>
    <t>נובה</t>
  </si>
  <si>
    <t>04.03.2025</t>
  </si>
  <si>
    <t>04.03.2026</t>
  </si>
  <si>
    <t>התפלת מים פלמחים</t>
  </si>
  <si>
    <t>29.12.2026</t>
  </si>
  <si>
    <t>שו"ב ביטחון</t>
  </si>
  <si>
    <t>26.12.2024</t>
  </si>
  <si>
    <t>26.12.2025</t>
  </si>
  <si>
    <t>מגדל מוקד אש</t>
  </si>
  <si>
    <t>31.12.2022</t>
  </si>
  <si>
    <t>קמפוס הדסה עין כרם</t>
  </si>
  <si>
    <t>חישולי  הכרמל</t>
  </si>
  <si>
    <t>01.11.2025</t>
  </si>
  <si>
    <t>30.10.2026</t>
  </si>
  <si>
    <t>הביוטכנולוגית BTG</t>
  </si>
  <si>
    <t>01.10.2025</t>
  </si>
  <si>
    <t>31.09.2026</t>
  </si>
  <si>
    <t>מטר</t>
  </si>
  <si>
    <t>31.07.2026</t>
  </si>
  <si>
    <t>רכבת ישראל</t>
  </si>
  <si>
    <t>לוד</t>
  </si>
  <si>
    <t>09.03.2025</t>
  </si>
  <si>
    <t>09.03.2026</t>
  </si>
  <si>
    <t>ב"ש צפון</t>
  </si>
  <si>
    <t>05.11.2024</t>
  </si>
  <si>
    <t>05.11.2025</t>
  </si>
  <si>
    <t>בית יהושוע</t>
  </si>
  <si>
    <t>06.11.2024</t>
  </si>
  <si>
    <t>06.11.2025</t>
  </si>
  <si>
    <t>גונן בת קול</t>
  </si>
  <si>
    <t>רמב"ם</t>
  </si>
  <si>
    <t>04.03.2027</t>
  </si>
  <si>
    <t>יום עבודה בשטח</t>
  </si>
  <si>
    <t>המכללה האקדמית נתניה</t>
  </si>
  <si>
    <t>אושירה</t>
  </si>
  <si>
    <t>תוכנה</t>
  </si>
  <si>
    <t>14.09.2025</t>
  </si>
  <si>
    <t>14.09.2026</t>
  </si>
  <si>
    <t>פניקס</t>
  </si>
  <si>
    <t>10.02.2025</t>
  </si>
  <si>
    <t>10.02.2026</t>
  </si>
  <si>
    <t>בנק הפועלים</t>
  </si>
  <si>
    <t>04.02.2025</t>
  </si>
  <si>
    <t>טנטטיבי</t>
  </si>
  <si>
    <t>אתר 54</t>
  </si>
  <si>
    <t>דיור מוגן רקפות</t>
  </si>
  <si>
    <t>אבטחת תוכנה</t>
  </si>
  <si>
    <t>01.11.2026</t>
  </si>
  <si>
    <t>פיתוח מחיקה ממערכת LNL בדיקה והתמעה</t>
  </si>
  <si>
    <t>אינטר מערכות אלקטורמכניות בע"מ</t>
  </si>
  <si>
    <t>בית מנצור רעננה</t>
  </si>
  <si>
    <t>01.07.2025</t>
  </si>
  <si>
    <t>31.06.2026</t>
  </si>
  <si>
    <t>בינת ישום מערכות</t>
  </si>
  <si>
    <t>סוכריות</t>
  </si>
  <si>
    <t>עומר אביב פרויקטים</t>
  </si>
  <si>
    <t>שו"ב בית אל</t>
  </si>
  <si>
    <t>31.10.2026</t>
  </si>
  <si>
    <t>טליס מערכות אינגרציה</t>
  </si>
  <si>
    <t>דאטה סנטר</t>
  </si>
  <si>
    <t>01.03.2026</t>
  </si>
  <si>
    <t>01.03.2027</t>
  </si>
  <si>
    <t>22.01.2026</t>
  </si>
  <si>
    <t>22.01.2027</t>
  </si>
  <si>
    <t>30.01.2027</t>
  </si>
  <si>
    <t>סול אין</t>
  </si>
  <si>
    <t>ויליפוד בטחון</t>
  </si>
  <si>
    <t>08.02.2026</t>
  </si>
  <si>
    <t>08.02.2027</t>
  </si>
  <si>
    <t>ריט 1 בע"מ (לקוח מזדמן)</t>
  </si>
  <si>
    <t>אינפיניטי</t>
  </si>
  <si>
    <t>גני שפע בנין והשקעות בע"מ (לקוח מזדמן)</t>
  </si>
  <si>
    <t>פרומדיקו עמק חפר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</si>
</sst>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 * #,##0_ ;_ * \-#,##0_ ;_ * &quot;-&quot;??_ ;_ @_ "/>
    <numFmt numFmtId="165" formatCode="_-* #,##0.00_-;\-* #,##0.00_-;_-* &quot;-&quot;??_-;_-@"/>
    <numFmt numFmtId="166" formatCode="_(* #,##0_);_(* \(#,##0\);_(* &quot;-&quot;??_);_(@_)"/>
    <numFmt numFmtId="167" formatCode="0.000%"/>
    <numFmt numFmtId="168" formatCode="[$-1010000]d/m/yyyy"/>
    <numFmt numFmtId="169" formatCode="_ [$₪-40D]\ * #,##0_ ;_ [$₪-40D]\ * \-#,##0_ ;_ [$₪-40D]\ * &quot;-&quot;??_ ;_ @_ "/>
    <numFmt numFmtId="170" formatCode="&quot;₪&quot;\ #,##0"/>
  </numFmts>
  <fonts count="45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b/>
      <u/>
      <sz val="20"/>
      <color theme="1"/>
      <name val="Arial"/>
      <family val="2"/>
    </font>
    <font>
      <b/>
      <sz val="12"/>
      <color theme="0"/>
      <name val="Arial"/>
      <family val="2"/>
    </font>
    <font>
      <b/>
      <sz val="10"/>
      <color rgb="FF33339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8"/>
      <color theme="1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2"/>
      <color rgb="FF000000"/>
      <name val="Arial"/>
      <family val="2"/>
    </font>
    <font>
      <b/>
      <sz val="12"/>
      <color rgb="FFFF0000"/>
      <name val="Arial"/>
      <family val="2"/>
    </font>
    <font>
      <b/>
      <u/>
      <sz val="14"/>
      <color rgb="FF000000"/>
      <name val="Arial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2"/>
      <color rgb="FF333399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2"/>
      <color rgb="FFFFFFFF"/>
      <name val="Arial"/>
      <family val="2"/>
    </font>
    <font>
      <u/>
      <sz val="10"/>
      <color theme="10"/>
      <name val="Arial"/>
      <family val="2"/>
    </font>
    <font>
      <b/>
      <sz val="18"/>
      <color rgb="FF333399"/>
      <name val="Arial"/>
      <family val="2"/>
    </font>
    <font>
      <b/>
      <u/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rgb="FF0070C0"/>
      <name val="Arial"/>
      <family val="2"/>
    </font>
    <font>
      <b/>
      <sz val="18"/>
      <color rgb="FF000000"/>
      <name val="Arial"/>
      <family val="2"/>
    </font>
    <font>
      <sz val="11"/>
      <color rgb="FF000000"/>
      <name val="Arial"/>
      <family val="2"/>
    </font>
    <font>
      <sz val="9"/>
      <color rgb="FF1F497D"/>
      <name val="Arial"/>
      <family val="2"/>
    </font>
    <font>
      <b/>
      <sz val="10"/>
      <name val="Arial"/>
      <family val="2"/>
    </font>
    <font>
      <u/>
      <sz val="10"/>
      <color theme="1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C00000"/>
      <name val="Arial"/>
      <family val="2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b/>
      <sz val="10"/>
      <color theme="3"/>
      <name val="Arial"/>
      <family val="2"/>
    </font>
    <font>
      <sz val="8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name val="Arial"/>
      <family val="2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4" tint="-0.499984740745262"/>
      <name val="Arial"/>
      <family val="2"/>
    </font>
    <font>
      <sz val="11"/>
      <color rgb="FF000000"/>
      <name val="Arial"/>
      <charset val="1"/>
    </font>
  </fonts>
  <fills count="34">
    <fill>
      <patternFill patternType="none"/>
    </fill>
    <fill>
      <patternFill patternType="gray125"/>
    </fill>
    <fill>
      <patternFill patternType="solid">
        <fgColor rgb="FF00B0F0"/>
        <bgColor rgb="FF00B0F0"/>
      </patternFill>
    </fill>
    <fill>
      <patternFill patternType="solid">
        <fgColor rgb="FFB6DDE8"/>
        <bgColor rgb="FFB6DDE8"/>
      </patternFill>
    </fill>
    <fill>
      <patternFill patternType="solid">
        <fgColor rgb="FFB8CCE4"/>
        <bgColor rgb="FFB8CCE4"/>
      </patternFill>
    </fill>
    <fill>
      <patternFill patternType="solid">
        <fgColor rgb="FFDBE5F1"/>
        <bgColor rgb="FFDBE5F1"/>
      </patternFill>
    </fill>
    <fill>
      <patternFill patternType="solid">
        <fgColor rgb="FFFFFF00"/>
        <bgColor rgb="FFFFFF00"/>
      </patternFill>
    </fill>
    <fill>
      <patternFill patternType="solid">
        <fgColor rgb="FFE5B8B7"/>
        <bgColor rgb="FFE5B8B7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rgb="FFFFFFFF"/>
      </patternFill>
    </fill>
    <fill>
      <patternFill patternType="solid">
        <fgColor rgb="FF00B050"/>
        <bgColor rgb="FF00B05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B6DDE8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rgb="FFB6DDE8"/>
      </patternFill>
    </fill>
    <fill>
      <patternFill patternType="solid">
        <fgColor rgb="FFFFFF00"/>
        <bgColor rgb="FFB6DDE8"/>
      </patternFill>
    </fill>
    <fill>
      <patternFill patternType="solid">
        <fgColor theme="9"/>
        <bgColor rgb="FFDBE5F1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rgb="FFFFFF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rgb="FFDBE5F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rgb="FFB6DDE8"/>
      </patternFill>
    </fill>
    <fill>
      <patternFill patternType="solid">
        <fgColor rgb="FFFFC000"/>
        <bgColor rgb="FFB8CCE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rgb="FFB6DDE8"/>
      </patternFill>
    </fill>
    <fill>
      <patternFill patternType="solid">
        <fgColor theme="9"/>
        <bgColor rgb="FFB8CCE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6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95B3D7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30" fillId="0" borderId="32"/>
    <xf numFmtId="0" fontId="29" fillId="0" borderId="32" applyNumberFormat="0" applyFill="0" applyBorder="0" applyAlignment="0" applyProtection="0"/>
    <xf numFmtId="0" fontId="30" fillId="0" borderId="32"/>
    <xf numFmtId="0" fontId="30" fillId="0" borderId="32"/>
    <xf numFmtId="0" fontId="32" fillId="0" borderId="0" applyNumberFormat="0" applyFill="0" applyBorder="0" applyAlignment="0" applyProtection="0"/>
    <xf numFmtId="0" fontId="1" fillId="30" borderId="0" applyNumberFormat="0" applyBorder="0" applyAlignment="0" applyProtection="0"/>
  </cellStyleXfs>
  <cellXfs count="532">
    <xf numFmtId="0" fontId="0" fillId="0" borderId="0" xfId="0"/>
    <xf numFmtId="164" fontId="3" fillId="2" borderId="1" xfId="0" applyNumberFormat="1" applyFont="1" applyFill="1" applyBorder="1" applyAlignment="1">
      <alignment horizontal="center" vertical="center" readingOrder="2"/>
    </xf>
    <xf numFmtId="0" fontId="3" fillId="2" borderId="1" xfId="0" applyFont="1" applyFill="1" applyBorder="1" applyAlignment="1">
      <alignment horizontal="center" vertical="center" readingOrder="2"/>
    </xf>
    <xf numFmtId="38" fontId="4" fillId="3" borderId="1" xfId="0" applyNumberFormat="1" applyFont="1" applyFill="1" applyBorder="1" applyAlignment="1">
      <alignment horizontal="center" vertical="center" readingOrder="2"/>
    </xf>
    <xf numFmtId="3" fontId="6" fillId="5" borderId="1" xfId="0" applyNumberFormat="1" applyFont="1" applyFill="1" applyBorder="1" applyAlignment="1">
      <alignment horizontal="center" vertical="center" readingOrder="2"/>
    </xf>
    <xf numFmtId="38" fontId="4" fillId="3" borderId="1" xfId="0" applyNumberFormat="1" applyFont="1" applyFill="1" applyBorder="1" applyAlignment="1">
      <alignment horizontal="center" vertical="center" wrapText="1" readingOrder="2"/>
    </xf>
    <xf numFmtId="10" fontId="9" fillId="4" borderId="1" xfId="0" applyNumberFormat="1" applyFont="1" applyFill="1" applyBorder="1" applyAlignment="1">
      <alignment horizontal="center" readingOrder="2"/>
    </xf>
    <xf numFmtId="164" fontId="3" fillId="2" borderId="1" xfId="0" applyNumberFormat="1" applyFont="1" applyFill="1" applyBorder="1" applyAlignment="1">
      <alignment horizontal="center" vertical="center" wrapText="1" readingOrder="2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3" fontId="11" fillId="0" borderId="0" xfId="0" applyNumberFormat="1" applyFont="1" applyAlignment="1">
      <alignment horizontal="right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/>
    </xf>
    <xf numFmtId="165" fontId="6" fillId="0" borderId="0" xfId="0" applyNumberFormat="1" applyFont="1" applyAlignment="1">
      <alignment horizontal="center"/>
    </xf>
    <xf numFmtId="3" fontId="6" fillId="0" borderId="0" xfId="0" applyNumberFormat="1" applyFont="1"/>
    <xf numFmtId="166" fontId="6" fillId="0" borderId="0" xfId="0" applyNumberFormat="1" applyFont="1"/>
    <xf numFmtId="3" fontId="6" fillId="0" borderId="3" xfId="0" applyNumberFormat="1" applyFont="1" applyBorder="1" applyAlignment="1">
      <alignment horizontal="center"/>
    </xf>
    <xf numFmtId="3" fontId="11" fillId="0" borderId="0" xfId="0" applyNumberFormat="1" applyFont="1" applyAlignment="1">
      <alignment horizontal="center" vertical="center" wrapText="1"/>
    </xf>
    <xf numFmtId="0" fontId="13" fillId="0" borderId="0" xfId="0" applyFont="1"/>
    <xf numFmtId="0" fontId="6" fillId="0" borderId="0" xfId="0" applyFont="1" applyAlignment="1">
      <alignment horizontal="right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6" borderId="10" xfId="0" applyFont="1" applyFill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38" fontId="15" fillId="3" borderId="1" xfId="0" applyNumberFormat="1" applyFont="1" applyFill="1" applyBorder="1" applyAlignment="1">
      <alignment horizontal="center" vertical="center" readingOrder="2"/>
    </xf>
    <xf numFmtId="3" fontId="6" fillId="0" borderId="5" xfId="0" applyNumberFormat="1" applyFont="1" applyBorder="1"/>
    <xf numFmtId="167" fontId="6" fillId="0" borderId="18" xfId="0" applyNumberFormat="1" applyFont="1" applyBorder="1" applyAlignment="1">
      <alignment horizontal="right" vertical="center" wrapText="1"/>
    </xf>
    <xf numFmtId="3" fontId="6" fillId="0" borderId="5" xfId="0" applyNumberFormat="1" applyFont="1" applyBorder="1" applyAlignment="1">
      <alignment horizontal="center" vertical="center" wrapText="1"/>
    </xf>
    <xf numFmtId="167" fontId="6" fillId="0" borderId="19" xfId="0" applyNumberFormat="1" applyFont="1" applyBorder="1" applyAlignment="1">
      <alignment horizontal="center"/>
    </xf>
    <xf numFmtId="3" fontId="6" fillId="5" borderId="5" xfId="0" applyNumberFormat="1" applyFont="1" applyFill="1" applyBorder="1"/>
    <xf numFmtId="9" fontId="6" fillId="0" borderId="20" xfId="0" applyNumberFormat="1" applyFont="1" applyBorder="1" applyAlignment="1">
      <alignment horizontal="center"/>
    </xf>
    <xf numFmtId="3" fontId="6" fillId="0" borderId="21" xfId="0" applyNumberFormat="1" applyFont="1" applyBorder="1" applyAlignment="1">
      <alignment horizontal="center"/>
    </xf>
    <xf numFmtId="3" fontId="6" fillId="0" borderId="22" xfId="0" applyNumberFormat="1" applyFont="1" applyBorder="1" applyAlignment="1">
      <alignment horizontal="center"/>
    </xf>
    <xf numFmtId="9" fontId="6" fillId="0" borderId="19" xfId="0" applyNumberFormat="1" applyFont="1" applyBorder="1" applyAlignment="1">
      <alignment horizontal="center"/>
    </xf>
    <xf numFmtId="3" fontId="16" fillId="0" borderId="5" xfId="0" applyNumberFormat="1" applyFont="1" applyBorder="1"/>
    <xf numFmtId="3" fontId="17" fillId="0" borderId="5" xfId="0" applyNumberFormat="1" applyFont="1" applyBorder="1"/>
    <xf numFmtId="3" fontId="17" fillId="5" borderId="5" xfId="0" applyNumberFormat="1" applyFont="1" applyFill="1" applyBorder="1"/>
    <xf numFmtId="0" fontId="6" fillId="0" borderId="23" xfId="0" applyFont="1" applyBorder="1" applyAlignment="1">
      <alignment horizontal="right" vertical="center" wrapText="1"/>
    </xf>
    <xf numFmtId="0" fontId="14" fillId="0" borderId="0" xfId="0" applyFont="1" applyAlignment="1">
      <alignment horizontal="center"/>
    </xf>
    <xf numFmtId="3" fontId="14" fillId="0" borderId="0" xfId="0" applyNumberFormat="1" applyFont="1"/>
    <xf numFmtId="3" fontId="6" fillId="0" borderId="0" xfId="0" applyNumberFormat="1" applyFont="1" applyAlignment="1">
      <alignment horizontal="center"/>
    </xf>
    <xf numFmtId="0" fontId="14" fillId="0" borderId="0" xfId="0" applyFont="1" applyAlignment="1">
      <alignment horizontal="right" vertical="center" wrapText="1"/>
    </xf>
    <xf numFmtId="3" fontId="6" fillId="0" borderId="24" xfId="0" applyNumberFormat="1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3" fontId="6" fillId="5" borderId="5" xfId="0" applyNumberFormat="1" applyFont="1" applyFill="1" applyBorder="1" applyAlignment="1">
      <alignment horizontal="center" vertical="center"/>
    </xf>
    <xf numFmtId="3" fontId="6" fillId="0" borderId="17" xfId="0" applyNumberFormat="1" applyFont="1" applyBorder="1" applyAlignment="1">
      <alignment horizontal="center"/>
    </xf>
    <xf numFmtId="3" fontId="6" fillId="0" borderId="4" xfId="0" applyNumberFormat="1" applyFont="1" applyBorder="1" applyAlignment="1">
      <alignment horizontal="center"/>
    </xf>
    <xf numFmtId="9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right" vertical="center" wrapText="1"/>
    </xf>
    <xf numFmtId="3" fontId="6" fillId="0" borderId="0" xfId="0" applyNumberFormat="1" applyFont="1" applyAlignment="1">
      <alignment horizontal="center" vertical="center" wrapText="1"/>
    </xf>
    <xf numFmtId="38" fontId="15" fillId="3" borderId="1" xfId="0" applyNumberFormat="1" applyFont="1" applyFill="1" applyBorder="1" applyAlignment="1">
      <alignment horizontal="center" vertical="center" wrapText="1" readingOrder="2"/>
    </xf>
    <xf numFmtId="38" fontId="11" fillId="3" borderId="1" xfId="0" applyNumberFormat="1" applyFont="1" applyFill="1" applyBorder="1" applyAlignment="1">
      <alignment horizontal="center" vertical="center" readingOrder="2"/>
    </xf>
    <xf numFmtId="3" fontId="6" fillId="5" borderId="29" xfId="0" applyNumberFormat="1" applyFont="1" applyFill="1" applyBorder="1" applyAlignment="1">
      <alignment horizontal="center" vertical="center" readingOrder="2"/>
    </xf>
    <xf numFmtId="3" fontId="17" fillId="5" borderId="29" xfId="0" applyNumberFormat="1" applyFont="1" applyFill="1" applyBorder="1" applyAlignment="1">
      <alignment horizontal="center" vertical="center" readingOrder="2"/>
    </xf>
    <xf numFmtId="38" fontId="11" fillId="3" borderId="30" xfId="0" applyNumberFormat="1" applyFont="1" applyFill="1" applyBorder="1" applyAlignment="1">
      <alignment horizontal="center" vertical="center" readingOrder="2"/>
    </xf>
    <xf numFmtId="3" fontId="17" fillId="5" borderId="31" xfId="0" applyNumberFormat="1" applyFont="1" applyFill="1" applyBorder="1" applyAlignment="1">
      <alignment horizontal="center" vertical="center" readingOrder="2"/>
    </xf>
    <xf numFmtId="0" fontId="16" fillId="0" borderId="0" xfId="0" applyFont="1"/>
    <xf numFmtId="1" fontId="3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164" fontId="19" fillId="2" borderId="1" xfId="0" applyNumberFormat="1" applyFont="1" applyFill="1" applyBorder="1" applyAlignment="1">
      <alignment horizontal="center" vertical="center" readingOrder="2"/>
    </xf>
    <xf numFmtId="0" fontId="4" fillId="3" borderId="1" xfId="0" applyFont="1" applyFill="1" applyBorder="1" applyAlignment="1">
      <alignment horizontal="center" vertical="center" readingOrder="2"/>
    </xf>
    <xf numFmtId="9" fontId="6" fillId="0" borderId="0" xfId="0" applyNumberFormat="1" applyFont="1"/>
    <xf numFmtId="169" fontId="6" fillId="0" borderId="0" xfId="0" applyNumberFormat="1" applyFont="1"/>
    <xf numFmtId="1" fontId="4" fillId="3" borderId="1" xfId="0" applyNumberFormat="1" applyFont="1" applyFill="1" applyBorder="1" applyAlignment="1">
      <alignment horizontal="center" vertical="center" readingOrder="2"/>
    </xf>
    <xf numFmtId="168" fontId="5" fillId="4" borderId="1" xfId="0" applyNumberFormat="1" applyFont="1" applyFill="1" applyBorder="1" applyAlignment="1">
      <alignment horizontal="center" readingOrder="2"/>
    </xf>
    <xf numFmtId="49" fontId="5" fillId="4" borderId="1" xfId="0" applyNumberFormat="1" applyFont="1" applyFill="1" applyBorder="1" applyAlignment="1">
      <alignment horizontal="center" readingOrder="2"/>
    </xf>
    <xf numFmtId="3" fontId="5" fillId="4" borderId="1" xfId="0" applyNumberFormat="1" applyFont="1" applyFill="1" applyBorder="1" applyAlignment="1">
      <alignment horizontal="center" readingOrder="2"/>
    </xf>
    <xf numFmtId="3" fontId="5" fillId="4" borderId="1" xfId="0" applyNumberFormat="1" applyFont="1" applyFill="1" applyBorder="1" applyAlignment="1">
      <alignment horizontal="center" wrapText="1" readingOrder="2"/>
    </xf>
    <xf numFmtId="0" fontId="6" fillId="0" borderId="0" xfId="0" applyFont="1" applyAlignment="1">
      <alignment wrapText="1"/>
    </xf>
    <xf numFmtId="49" fontId="6" fillId="0" borderId="0" xfId="0" applyNumberFormat="1" applyFont="1"/>
    <xf numFmtId="0" fontId="16" fillId="0" borderId="0" xfId="0" applyFont="1" applyAlignment="1">
      <alignment wrapText="1"/>
    </xf>
    <xf numFmtId="49" fontId="16" fillId="0" borderId="0" xfId="0" applyNumberFormat="1" applyFont="1"/>
    <xf numFmtId="0" fontId="6" fillId="0" borderId="0" xfId="0" applyFont="1"/>
    <xf numFmtId="170" fontId="23" fillId="4" borderId="1" xfId="0" applyNumberFormat="1" applyFont="1" applyFill="1" applyBorder="1" applyAlignment="1">
      <alignment horizontal="center" vertical="center" readingOrder="2"/>
    </xf>
    <xf numFmtId="164" fontId="15" fillId="3" borderId="5" xfId="0" applyNumberFormat="1" applyFont="1" applyFill="1" applyBorder="1" applyAlignment="1">
      <alignment horizontal="center" vertical="center" readingOrder="2"/>
    </xf>
    <xf numFmtId="0" fontId="10" fillId="2" borderId="1" xfId="0" applyFont="1" applyFill="1" applyBorder="1" applyAlignment="1">
      <alignment horizontal="center" vertical="center" readingOrder="2"/>
    </xf>
    <xf numFmtId="3" fontId="10" fillId="2" borderId="1" xfId="0" applyNumberFormat="1" applyFont="1" applyFill="1" applyBorder="1" applyAlignment="1">
      <alignment horizontal="center" vertical="center" readingOrder="2"/>
    </xf>
    <xf numFmtId="3" fontId="19" fillId="2" borderId="1" xfId="0" applyNumberFormat="1" applyFont="1" applyFill="1" applyBorder="1" applyAlignment="1">
      <alignment horizontal="center" vertical="center" readingOrder="2"/>
    </xf>
    <xf numFmtId="0" fontId="16" fillId="0" borderId="0" xfId="0" applyFont="1" applyAlignment="1">
      <alignment horizontal="right" readingOrder="2"/>
    </xf>
    <xf numFmtId="0" fontId="10" fillId="2" borderId="34" xfId="0" applyFont="1" applyFill="1" applyBorder="1" applyAlignment="1">
      <alignment horizontal="center" vertical="center" readingOrder="2"/>
    </xf>
    <xf numFmtId="0" fontId="10" fillId="2" borderId="35" xfId="0" applyFont="1" applyFill="1" applyBorder="1" applyAlignment="1">
      <alignment horizontal="center" vertical="center" readingOrder="2"/>
    </xf>
    <xf numFmtId="0" fontId="10" fillId="2" borderId="13" xfId="0" applyFont="1" applyFill="1" applyBorder="1" applyAlignment="1">
      <alignment horizontal="center" vertical="center" readingOrder="2"/>
    </xf>
    <xf numFmtId="0" fontId="10" fillId="2" borderId="29" xfId="0" applyFont="1" applyFill="1" applyBorder="1" applyAlignment="1">
      <alignment horizontal="center" vertical="center" readingOrder="2"/>
    </xf>
    <xf numFmtId="38" fontId="23" fillId="3" borderId="36" xfId="0" applyNumberFormat="1" applyFont="1" applyFill="1" applyBorder="1" applyAlignment="1">
      <alignment horizontal="center" vertical="center" readingOrder="2"/>
    </xf>
    <xf numFmtId="38" fontId="23" fillId="3" borderId="37" xfId="0" applyNumberFormat="1" applyFont="1" applyFill="1" applyBorder="1" applyAlignment="1">
      <alignment horizontal="center" vertical="center" readingOrder="2"/>
    </xf>
    <xf numFmtId="14" fontId="23" fillId="10" borderId="37" xfId="0" applyNumberFormat="1" applyFont="1" applyFill="1" applyBorder="1" applyAlignment="1">
      <alignment horizontal="center" vertical="center" readingOrder="2"/>
    </xf>
    <xf numFmtId="3" fontId="23" fillId="4" borderId="36" xfId="0" applyNumberFormat="1" applyFont="1" applyFill="1" applyBorder="1" applyAlignment="1">
      <alignment horizontal="center" vertical="center" readingOrder="2"/>
    </xf>
    <xf numFmtId="3" fontId="6" fillId="4" borderId="29" xfId="0" applyNumberFormat="1" applyFont="1" applyFill="1" applyBorder="1" applyAlignment="1">
      <alignment horizontal="center" vertical="center" readingOrder="2"/>
    </xf>
    <xf numFmtId="3" fontId="5" fillId="5" borderId="29" xfId="0" applyNumberFormat="1" applyFont="1" applyFill="1" applyBorder="1" applyAlignment="1">
      <alignment horizontal="center" vertical="center" readingOrder="2"/>
    </xf>
    <xf numFmtId="3" fontId="16" fillId="5" borderId="1" xfId="0" applyNumberFormat="1" applyFont="1" applyFill="1" applyBorder="1" applyAlignment="1">
      <alignment horizontal="center" vertical="center" readingOrder="2"/>
    </xf>
    <xf numFmtId="3" fontId="5" fillId="4" borderId="37" xfId="0" applyNumberFormat="1" applyFont="1" applyFill="1" applyBorder="1" applyAlignment="1">
      <alignment horizontal="center" vertical="center" readingOrder="2"/>
    </xf>
    <xf numFmtId="0" fontId="6" fillId="3" borderId="37" xfId="0" applyFont="1" applyFill="1" applyBorder="1"/>
    <xf numFmtId="3" fontId="6" fillId="4" borderId="1" xfId="0" applyNumberFormat="1" applyFont="1" applyFill="1" applyBorder="1" applyAlignment="1">
      <alignment horizontal="center" vertical="center" readingOrder="2"/>
    </xf>
    <xf numFmtId="3" fontId="23" fillId="4" borderId="37" xfId="0" applyNumberFormat="1" applyFont="1" applyFill="1" applyBorder="1" applyAlignment="1">
      <alignment horizontal="center" vertical="center" readingOrder="2"/>
    </xf>
    <xf numFmtId="3" fontId="16" fillId="5" borderId="29" xfId="0" applyNumberFormat="1" applyFont="1" applyFill="1" applyBorder="1" applyAlignment="1">
      <alignment horizontal="center" vertical="center" readingOrder="2"/>
    </xf>
    <xf numFmtId="38" fontId="23" fillId="10" borderId="37" xfId="0" applyNumberFormat="1" applyFont="1" applyFill="1" applyBorder="1" applyAlignment="1">
      <alignment horizontal="center" vertical="center" readingOrder="2"/>
    </xf>
    <xf numFmtId="0" fontId="16" fillId="3" borderId="37" xfId="0" applyFont="1" applyFill="1" applyBorder="1"/>
    <xf numFmtId="38" fontId="9" fillId="3" borderId="36" xfId="0" applyNumberFormat="1" applyFont="1" applyFill="1" applyBorder="1" applyAlignment="1">
      <alignment horizontal="center" vertical="center" readingOrder="2"/>
    </xf>
    <xf numFmtId="3" fontId="17" fillId="5" borderId="1" xfId="0" applyNumberFormat="1" applyFont="1" applyFill="1" applyBorder="1" applyAlignment="1">
      <alignment horizontal="center" vertical="center" readingOrder="2"/>
    </xf>
    <xf numFmtId="3" fontId="9" fillId="4" borderId="37" xfId="0" applyNumberFormat="1" applyFont="1" applyFill="1" applyBorder="1" applyAlignment="1">
      <alignment horizontal="center" vertical="center" readingOrder="2"/>
    </xf>
    <xf numFmtId="38" fontId="4" fillId="3" borderId="38" xfId="0" applyNumberFormat="1" applyFont="1" applyFill="1" applyBorder="1" applyAlignment="1">
      <alignment horizontal="center" vertical="center" readingOrder="2"/>
    </xf>
    <xf numFmtId="0" fontId="10" fillId="2" borderId="39" xfId="0" applyFont="1" applyFill="1" applyBorder="1" applyAlignment="1">
      <alignment horizontal="center" vertical="center" readingOrder="2"/>
    </xf>
    <xf numFmtId="0" fontId="10" fillId="2" borderId="40" xfId="0" applyFont="1" applyFill="1" applyBorder="1" applyAlignment="1">
      <alignment horizontal="center" vertical="center" readingOrder="2"/>
    </xf>
    <xf numFmtId="3" fontId="5" fillId="4" borderId="28" xfId="0" applyNumberFormat="1" applyFont="1" applyFill="1" applyBorder="1" applyAlignment="1">
      <alignment horizontal="center" readingOrder="2"/>
    </xf>
    <xf numFmtId="3" fontId="5" fillId="4" borderId="28" xfId="0" applyNumberFormat="1" applyFont="1" applyFill="1" applyBorder="1" applyAlignment="1">
      <alignment horizontal="center" vertical="center" readingOrder="2"/>
    </xf>
    <xf numFmtId="3" fontId="6" fillId="11" borderId="0" xfId="0" applyNumberFormat="1" applyFont="1" applyFill="1" applyAlignment="1">
      <alignment horizontal="center" vertical="center" wrapText="1"/>
    </xf>
    <xf numFmtId="38" fontId="15" fillId="12" borderId="1" xfId="0" applyNumberFormat="1" applyFont="1" applyFill="1" applyBorder="1" applyAlignment="1">
      <alignment horizontal="center" vertical="center" readingOrder="2"/>
    </xf>
    <xf numFmtId="168" fontId="5" fillId="4" borderId="28" xfId="0" applyNumberFormat="1" applyFont="1" applyFill="1" applyBorder="1" applyAlignment="1">
      <alignment horizontal="center" readingOrder="2"/>
    </xf>
    <xf numFmtId="168" fontId="5" fillId="4" borderId="28" xfId="0" applyNumberFormat="1" applyFont="1" applyFill="1" applyBorder="1" applyAlignment="1">
      <alignment horizontal="center" wrapText="1" readingOrder="2"/>
    </xf>
    <xf numFmtId="168" fontId="20" fillId="4" borderId="28" xfId="0" applyNumberFormat="1" applyFont="1" applyFill="1" applyBorder="1" applyAlignment="1">
      <alignment horizontal="center" readingOrder="2"/>
    </xf>
    <xf numFmtId="49" fontId="5" fillId="4" borderId="28" xfId="0" applyNumberFormat="1" applyFont="1" applyFill="1" applyBorder="1" applyAlignment="1">
      <alignment horizontal="center" readingOrder="2"/>
    </xf>
    <xf numFmtId="3" fontId="5" fillId="4" borderId="28" xfId="0" applyNumberFormat="1" applyFont="1" applyFill="1" applyBorder="1" applyAlignment="1">
      <alignment horizontal="center" wrapText="1" readingOrder="2"/>
    </xf>
    <xf numFmtId="10" fontId="5" fillId="4" borderId="28" xfId="0" applyNumberFormat="1" applyFont="1" applyFill="1" applyBorder="1" applyAlignment="1">
      <alignment horizontal="center" readingOrder="2"/>
    </xf>
    <xf numFmtId="0" fontId="6" fillId="0" borderId="33" xfId="0" applyFont="1" applyBorder="1" applyAlignment="1">
      <alignment horizontal="right" vertical="center" wrapText="1"/>
    </xf>
    <xf numFmtId="3" fontId="6" fillId="0" borderId="33" xfId="0" applyNumberFormat="1" applyFont="1" applyBorder="1" applyAlignment="1">
      <alignment horizontal="center" vertical="center" wrapText="1"/>
    </xf>
    <xf numFmtId="4" fontId="6" fillId="5" borderId="5" xfId="0" applyNumberFormat="1" applyFont="1" applyFill="1" applyBorder="1"/>
    <xf numFmtId="4" fontId="17" fillId="5" borderId="5" xfId="0" applyNumberFormat="1" applyFont="1" applyFill="1" applyBorder="1"/>
    <xf numFmtId="3" fontId="6" fillId="13" borderId="5" xfId="0" applyNumberFormat="1" applyFont="1" applyFill="1" applyBorder="1"/>
    <xf numFmtId="14" fontId="6" fillId="0" borderId="33" xfId="0" applyNumberFormat="1" applyFont="1" applyBorder="1" applyAlignment="1">
      <alignment horizontal="right" vertical="center" wrapText="1"/>
    </xf>
    <xf numFmtId="38" fontId="28" fillId="3" borderId="36" xfId="0" applyNumberFormat="1" applyFont="1" applyFill="1" applyBorder="1" applyAlignment="1">
      <alignment horizontal="center" vertical="center" readingOrder="2"/>
    </xf>
    <xf numFmtId="0" fontId="18" fillId="8" borderId="26" xfId="0" applyFont="1" applyFill="1" applyBorder="1" applyAlignment="1">
      <alignment horizontal="center" vertical="center" wrapText="1"/>
    </xf>
    <xf numFmtId="9" fontId="5" fillId="4" borderId="28" xfId="0" applyNumberFormat="1" applyFont="1" applyFill="1" applyBorder="1" applyAlignment="1">
      <alignment horizontal="center" readingOrder="2"/>
    </xf>
    <xf numFmtId="10" fontId="9" fillId="4" borderId="28" xfId="0" applyNumberFormat="1" applyFont="1" applyFill="1" applyBorder="1" applyAlignment="1">
      <alignment horizontal="center" readingOrder="2"/>
    </xf>
    <xf numFmtId="3" fontId="8" fillId="5" borderId="5" xfId="0" applyNumberFormat="1" applyFont="1" applyFill="1" applyBorder="1"/>
    <xf numFmtId="38" fontId="15" fillId="3" borderId="32" xfId="0" applyNumberFormat="1" applyFont="1" applyFill="1" applyBorder="1" applyAlignment="1">
      <alignment horizontal="center" vertical="center" readingOrder="2"/>
    </xf>
    <xf numFmtId="0" fontId="18" fillId="2" borderId="26" xfId="0" applyFont="1" applyFill="1" applyBorder="1" applyAlignment="1">
      <alignment horizontal="center" vertical="center" wrapText="1"/>
    </xf>
    <xf numFmtId="3" fontId="6" fillId="5" borderId="32" xfId="0" applyNumberFormat="1" applyFont="1" applyFill="1" applyBorder="1" applyAlignment="1">
      <alignment horizontal="center"/>
    </xf>
    <xf numFmtId="1" fontId="5" fillId="4" borderId="28" xfId="0" applyNumberFormat="1" applyFont="1" applyFill="1" applyBorder="1" applyAlignment="1">
      <alignment horizontal="center" readingOrder="2"/>
    </xf>
    <xf numFmtId="38" fontId="4" fillId="3" borderId="28" xfId="0" applyNumberFormat="1" applyFont="1" applyFill="1" applyBorder="1" applyAlignment="1">
      <alignment horizontal="left" vertical="center" readingOrder="2"/>
    </xf>
    <xf numFmtId="14" fontId="5" fillId="4" borderId="28" xfId="0" applyNumberFormat="1" applyFont="1" applyFill="1" applyBorder="1" applyAlignment="1">
      <alignment horizontal="center" vertical="center" readingOrder="2"/>
    </xf>
    <xf numFmtId="14" fontId="5" fillId="4" borderId="28" xfId="0" applyNumberFormat="1" applyFont="1" applyFill="1" applyBorder="1" applyAlignment="1">
      <alignment horizontal="center" readingOrder="2"/>
    </xf>
    <xf numFmtId="168" fontId="5" fillId="4" borderId="28" xfId="0" applyNumberFormat="1" applyFont="1" applyFill="1" applyBorder="1" applyAlignment="1">
      <alignment horizontal="center" vertical="center" wrapText="1" readingOrder="2"/>
    </xf>
    <xf numFmtId="168" fontId="5" fillId="4" borderId="28" xfId="0" applyNumberFormat="1" applyFont="1" applyFill="1" applyBorder="1" applyAlignment="1">
      <alignment horizontal="center" vertical="center" readingOrder="2"/>
    </xf>
    <xf numFmtId="3" fontId="5" fillId="4" borderId="28" xfId="0" applyNumberFormat="1" applyFont="1" applyFill="1" applyBorder="1" applyAlignment="1">
      <alignment horizontal="center" vertical="center" wrapText="1" readingOrder="2"/>
    </xf>
    <xf numFmtId="0" fontId="5" fillId="4" borderId="28" xfId="0" applyFont="1" applyFill="1" applyBorder="1" applyAlignment="1">
      <alignment horizontal="center" readingOrder="2"/>
    </xf>
    <xf numFmtId="168" fontId="20" fillId="4" borderId="28" xfId="0" applyNumberFormat="1" applyFont="1" applyFill="1" applyBorder="1" applyAlignment="1">
      <alignment horizontal="center" wrapText="1" readingOrder="2"/>
    </xf>
    <xf numFmtId="0" fontId="5" fillId="4" borderId="28" xfId="0" applyFont="1" applyFill="1" applyBorder="1" applyAlignment="1">
      <alignment horizontal="center" wrapText="1" readingOrder="2"/>
    </xf>
    <xf numFmtId="38" fontId="4" fillId="3" borderId="28" xfId="0" applyNumberFormat="1" applyFont="1" applyFill="1" applyBorder="1" applyAlignment="1">
      <alignment horizontal="center" vertical="center" wrapText="1" readingOrder="2"/>
    </xf>
    <xf numFmtId="3" fontId="20" fillId="4" borderId="28" xfId="0" applyNumberFormat="1" applyFont="1" applyFill="1" applyBorder="1" applyAlignment="1">
      <alignment horizontal="center" wrapText="1" readingOrder="2"/>
    </xf>
    <xf numFmtId="9" fontId="6" fillId="0" borderId="32" xfId="0" applyNumberFormat="1" applyFont="1" applyBorder="1"/>
    <xf numFmtId="169" fontId="6" fillId="0" borderId="32" xfId="0" applyNumberFormat="1" applyFont="1" applyBorder="1"/>
    <xf numFmtId="0" fontId="16" fillId="0" borderId="32" xfId="0" applyFont="1" applyBorder="1"/>
    <xf numFmtId="0" fontId="0" fillId="0" borderId="32" xfId="0" applyBorder="1"/>
    <xf numFmtId="38" fontId="4" fillId="3" borderId="28" xfId="0" applyNumberFormat="1" applyFont="1" applyFill="1" applyBorder="1" applyAlignment="1">
      <alignment horizontal="left" vertical="center" wrapText="1" readingOrder="2"/>
    </xf>
    <xf numFmtId="0" fontId="16" fillId="9" borderId="32" xfId="0" applyFont="1" applyFill="1" applyBorder="1" applyAlignment="1">
      <alignment horizontal="right" readingOrder="2"/>
    </xf>
    <xf numFmtId="0" fontId="11" fillId="9" borderId="32" xfId="0" applyFont="1" applyFill="1" applyBorder="1" applyAlignment="1">
      <alignment horizontal="center" vertical="center" shrinkToFit="1" readingOrder="2"/>
    </xf>
    <xf numFmtId="0" fontId="15" fillId="9" borderId="32" xfId="0" applyFont="1" applyFill="1" applyBorder="1" applyAlignment="1">
      <alignment horizontal="center" vertical="center" readingOrder="2"/>
    </xf>
    <xf numFmtId="38" fontId="15" fillId="3" borderId="33" xfId="0" applyNumberFormat="1" applyFont="1" applyFill="1" applyBorder="1" applyAlignment="1">
      <alignment horizontal="center" vertical="center" readingOrder="2"/>
    </xf>
    <xf numFmtId="3" fontId="23" fillId="4" borderId="33" xfId="0" applyNumberFormat="1" applyFont="1" applyFill="1" applyBorder="1" applyAlignment="1">
      <alignment horizontal="center" vertical="center" readingOrder="2"/>
    </xf>
    <xf numFmtId="38" fontId="15" fillId="3" borderId="28" xfId="0" applyNumberFormat="1" applyFont="1" applyFill="1" applyBorder="1" applyAlignment="1">
      <alignment horizontal="center" vertical="center" readingOrder="2"/>
    </xf>
    <xf numFmtId="0" fontId="6" fillId="0" borderId="41" xfId="0" applyFont="1" applyBorder="1" applyAlignment="1">
      <alignment horizontal="right" vertical="center" wrapText="1"/>
    </xf>
    <xf numFmtId="0" fontId="14" fillId="0" borderId="34" xfId="0" applyFont="1" applyBorder="1" applyAlignment="1">
      <alignment horizontal="center" vertical="center" wrapText="1"/>
    </xf>
    <xf numFmtId="3" fontId="5" fillId="4" borderId="42" xfId="0" applyNumberFormat="1" applyFont="1" applyFill="1" applyBorder="1" applyAlignment="1">
      <alignment horizontal="center" readingOrder="2"/>
    </xf>
    <xf numFmtId="3" fontId="5" fillId="4" borderId="32" xfId="0" applyNumberFormat="1" applyFont="1" applyFill="1" applyBorder="1" applyAlignment="1">
      <alignment horizontal="center" readingOrder="2"/>
    </xf>
    <xf numFmtId="3" fontId="31" fillId="5" borderId="5" xfId="0" applyNumberFormat="1" applyFont="1" applyFill="1" applyBorder="1"/>
    <xf numFmtId="38" fontId="23" fillId="15" borderId="36" xfId="0" applyNumberFormat="1" applyFont="1" applyFill="1" applyBorder="1" applyAlignment="1">
      <alignment horizontal="center" vertical="center" readingOrder="2"/>
    </xf>
    <xf numFmtId="38" fontId="32" fillId="3" borderId="36" xfId="5" applyNumberFormat="1" applyFill="1" applyBorder="1" applyAlignment="1">
      <alignment horizontal="center" vertical="center" readingOrder="2"/>
    </xf>
    <xf numFmtId="38" fontId="23" fillId="14" borderId="37" xfId="0" applyNumberFormat="1" applyFont="1" applyFill="1" applyBorder="1" applyAlignment="1">
      <alignment horizontal="center" vertical="center" readingOrder="2"/>
    </xf>
    <xf numFmtId="3" fontId="6" fillId="16" borderId="5" xfId="0" applyNumberFormat="1" applyFont="1" applyFill="1" applyBorder="1" applyAlignment="1">
      <alignment horizontal="center" vertical="center"/>
    </xf>
    <xf numFmtId="9" fontId="6" fillId="17" borderId="19" xfId="0" applyNumberFormat="1" applyFont="1" applyFill="1" applyBorder="1" applyAlignment="1">
      <alignment horizontal="center"/>
    </xf>
    <xf numFmtId="3" fontId="6" fillId="17" borderId="3" xfId="0" applyNumberFormat="1" applyFont="1" applyFill="1" applyBorder="1" applyAlignment="1">
      <alignment horizontal="center"/>
    </xf>
    <xf numFmtId="3" fontId="6" fillId="17" borderId="2" xfId="0" applyNumberFormat="1" applyFont="1" applyFill="1" applyBorder="1" applyAlignment="1">
      <alignment horizontal="center"/>
    </xf>
    <xf numFmtId="0" fontId="14" fillId="18" borderId="10" xfId="0" applyFont="1" applyFill="1" applyBorder="1" applyAlignment="1">
      <alignment horizontal="center" vertical="center" wrapText="1"/>
    </xf>
    <xf numFmtId="3" fontId="6" fillId="19" borderId="5" xfId="0" applyNumberFormat="1" applyFont="1" applyFill="1" applyBorder="1"/>
    <xf numFmtId="0" fontId="14" fillId="20" borderId="10" xfId="0" applyFont="1" applyFill="1" applyBorder="1" applyAlignment="1">
      <alignment horizontal="center" vertical="center" wrapText="1"/>
    </xf>
    <xf numFmtId="38" fontId="23" fillId="3" borderId="43" xfId="0" applyNumberFormat="1" applyFont="1" applyFill="1" applyBorder="1" applyAlignment="1">
      <alignment horizontal="center" vertical="center" readingOrder="2"/>
    </xf>
    <xf numFmtId="0" fontId="4" fillId="3" borderId="30" xfId="0" applyFont="1" applyFill="1" applyBorder="1" applyAlignment="1">
      <alignment horizontal="center" vertical="center" readingOrder="2"/>
    </xf>
    <xf numFmtId="168" fontId="5" fillId="4" borderId="30" xfId="0" applyNumberFormat="1" applyFont="1" applyFill="1" applyBorder="1" applyAlignment="1">
      <alignment horizontal="center" readingOrder="2"/>
    </xf>
    <xf numFmtId="3" fontId="5" fillId="4" borderId="30" xfId="0" applyNumberFormat="1" applyFont="1" applyFill="1" applyBorder="1" applyAlignment="1">
      <alignment horizontal="center" readingOrder="2"/>
    </xf>
    <xf numFmtId="3" fontId="5" fillId="4" borderId="30" xfId="0" applyNumberFormat="1" applyFont="1" applyFill="1" applyBorder="1" applyAlignment="1">
      <alignment horizontal="center" wrapText="1" readingOrder="2"/>
    </xf>
    <xf numFmtId="38" fontId="4" fillId="3" borderId="41" xfId="0" applyNumberFormat="1" applyFont="1" applyFill="1" applyBorder="1" applyAlignment="1">
      <alignment horizontal="center" vertical="center" readingOrder="2"/>
    </xf>
    <xf numFmtId="168" fontId="5" fillId="4" borderId="41" xfId="0" applyNumberFormat="1" applyFont="1" applyFill="1" applyBorder="1" applyAlignment="1">
      <alignment horizontal="center" readingOrder="2"/>
    </xf>
    <xf numFmtId="168" fontId="5" fillId="4" borderId="41" xfId="0" applyNumberFormat="1" applyFont="1" applyFill="1" applyBorder="1" applyAlignment="1">
      <alignment horizontal="center" wrapText="1" readingOrder="2"/>
    </xf>
    <xf numFmtId="3" fontId="5" fillId="4" borderId="41" xfId="0" applyNumberFormat="1" applyFont="1" applyFill="1" applyBorder="1" applyAlignment="1">
      <alignment horizontal="center" readingOrder="2"/>
    </xf>
    <xf numFmtId="3" fontId="5" fillId="4" borderId="41" xfId="0" applyNumberFormat="1" applyFont="1" applyFill="1" applyBorder="1" applyAlignment="1">
      <alignment horizontal="center" wrapText="1" readingOrder="2"/>
    </xf>
    <xf numFmtId="3" fontId="6" fillId="22" borderId="5" xfId="0" applyNumberFormat="1" applyFont="1" applyFill="1" applyBorder="1" applyAlignment="1">
      <alignment horizontal="center" vertical="center"/>
    </xf>
    <xf numFmtId="3" fontId="17" fillId="4" borderId="1" xfId="0" applyNumberFormat="1" applyFont="1" applyFill="1" applyBorder="1" applyAlignment="1">
      <alignment horizontal="center" vertical="center" readingOrder="2"/>
    </xf>
    <xf numFmtId="3" fontId="8" fillId="4" borderId="1" xfId="0" applyNumberFormat="1" applyFont="1" applyFill="1" applyBorder="1" applyAlignment="1">
      <alignment horizontal="center" vertical="center" readingOrder="2"/>
    </xf>
    <xf numFmtId="3" fontId="17" fillId="13" borderId="5" xfId="0" applyNumberFormat="1" applyFont="1" applyFill="1" applyBorder="1"/>
    <xf numFmtId="3" fontId="17" fillId="19" borderId="5" xfId="0" applyNumberFormat="1" applyFont="1" applyFill="1" applyBorder="1"/>
    <xf numFmtId="0" fontId="38" fillId="0" borderId="0" xfId="0" applyFont="1"/>
    <xf numFmtId="3" fontId="5" fillId="0" borderId="0" xfId="0" applyNumberFormat="1" applyFont="1" applyAlignment="1">
      <alignment horizontal="center"/>
    </xf>
    <xf numFmtId="0" fontId="17" fillId="3" borderId="37" xfId="0" applyFont="1" applyFill="1" applyBorder="1"/>
    <xf numFmtId="38" fontId="9" fillId="3" borderId="37" xfId="0" applyNumberFormat="1" applyFont="1" applyFill="1" applyBorder="1" applyAlignment="1">
      <alignment horizontal="center" vertical="center" readingOrder="2"/>
    </xf>
    <xf numFmtId="3" fontId="9" fillId="4" borderId="36" xfId="0" applyNumberFormat="1" applyFont="1" applyFill="1" applyBorder="1" applyAlignment="1">
      <alignment horizontal="center" vertical="center" readingOrder="2"/>
    </xf>
    <xf numFmtId="3" fontId="9" fillId="4" borderId="33" xfId="0" applyNumberFormat="1" applyFont="1" applyFill="1" applyBorder="1" applyAlignment="1">
      <alignment horizontal="center" vertical="center" readingOrder="2"/>
    </xf>
    <xf numFmtId="3" fontId="17" fillId="4" borderId="29" xfId="0" applyNumberFormat="1" applyFont="1" applyFill="1" applyBorder="1" applyAlignment="1">
      <alignment horizontal="center" vertical="center" readingOrder="2"/>
    </xf>
    <xf numFmtId="0" fontId="14" fillId="23" borderId="7" xfId="0" applyFont="1" applyFill="1" applyBorder="1" applyAlignment="1">
      <alignment horizontal="center" vertical="center" wrapText="1"/>
    </xf>
    <xf numFmtId="3" fontId="16" fillId="23" borderId="20" xfId="0" applyNumberFormat="1" applyFont="1" applyFill="1" applyBorder="1" applyAlignment="1">
      <alignment horizontal="center" vertical="center" wrapText="1"/>
    </xf>
    <xf numFmtId="3" fontId="6" fillId="19" borderId="5" xfId="0" applyNumberFormat="1" applyFont="1" applyFill="1" applyBorder="1" applyAlignment="1">
      <alignment horizontal="center" vertical="center"/>
    </xf>
    <xf numFmtId="3" fontId="6" fillId="21" borderId="5" xfId="0" applyNumberFormat="1" applyFont="1" applyFill="1" applyBorder="1" applyAlignment="1">
      <alignment horizontal="center"/>
    </xf>
    <xf numFmtId="3" fontId="6" fillId="13" borderId="5" xfId="0" applyNumberFormat="1" applyFont="1" applyFill="1" applyBorder="1" applyAlignment="1">
      <alignment horizontal="center"/>
    </xf>
    <xf numFmtId="3" fontId="16" fillId="21" borderId="5" xfId="0" applyNumberFormat="1" applyFont="1" applyFill="1" applyBorder="1" applyAlignment="1">
      <alignment horizontal="center"/>
    </xf>
    <xf numFmtId="0" fontId="8" fillId="3" borderId="37" xfId="0" applyFont="1" applyFill="1" applyBorder="1"/>
    <xf numFmtId="38" fontId="40" fillId="3" borderId="36" xfId="5" applyNumberFormat="1" applyFont="1" applyFill="1" applyBorder="1" applyAlignment="1">
      <alignment horizontal="center" vertical="center" readingOrder="2"/>
    </xf>
    <xf numFmtId="38" fontId="28" fillId="3" borderId="37" xfId="0" applyNumberFormat="1" applyFont="1" applyFill="1" applyBorder="1" applyAlignment="1">
      <alignment horizontal="center" vertical="center" readingOrder="2"/>
    </xf>
    <xf numFmtId="3" fontId="28" fillId="4" borderId="36" xfId="0" applyNumberFormat="1" applyFont="1" applyFill="1" applyBorder="1" applyAlignment="1">
      <alignment horizontal="center" vertical="center" readingOrder="2"/>
    </xf>
    <xf numFmtId="3" fontId="28" fillId="4" borderId="33" xfId="0" applyNumberFormat="1" applyFont="1" applyFill="1" applyBorder="1" applyAlignment="1">
      <alignment horizontal="center" vertical="center" readingOrder="2"/>
    </xf>
    <xf numFmtId="3" fontId="8" fillId="5" borderId="1" xfId="0" applyNumberFormat="1" applyFont="1" applyFill="1" applyBorder="1" applyAlignment="1">
      <alignment horizontal="center" vertical="center" readingOrder="2"/>
    </xf>
    <xf numFmtId="3" fontId="8" fillId="5" borderId="29" xfId="0" applyNumberFormat="1" applyFont="1" applyFill="1" applyBorder="1" applyAlignment="1">
      <alignment horizontal="center" vertical="center" readingOrder="2"/>
    </xf>
    <xf numFmtId="3" fontId="8" fillId="4" borderId="29" xfId="0" applyNumberFormat="1" applyFont="1" applyFill="1" applyBorder="1" applyAlignment="1">
      <alignment horizontal="center" vertical="center" readingOrder="2"/>
    </xf>
    <xf numFmtId="3" fontId="28" fillId="4" borderId="37" xfId="0" applyNumberFormat="1" applyFont="1" applyFill="1" applyBorder="1" applyAlignment="1">
      <alignment horizontal="center" vertical="center" readingOrder="2"/>
    </xf>
    <xf numFmtId="0" fontId="41" fillId="0" borderId="0" xfId="0" applyFont="1"/>
    <xf numFmtId="0" fontId="16" fillId="0" borderId="41" xfId="0" applyFont="1" applyBorder="1" applyAlignment="1">
      <alignment horizontal="right" vertical="center" wrapText="1"/>
    </xf>
    <xf numFmtId="0" fontId="16" fillId="0" borderId="33" xfId="0" applyFont="1" applyBorder="1" applyAlignment="1">
      <alignment horizontal="right" vertical="center" wrapText="1"/>
    </xf>
    <xf numFmtId="3" fontId="16" fillId="0" borderId="33" xfId="0" applyNumberFormat="1" applyFont="1" applyBorder="1" applyAlignment="1">
      <alignment horizontal="center" vertical="center" wrapText="1"/>
    </xf>
    <xf numFmtId="14" fontId="16" fillId="0" borderId="33" xfId="0" applyNumberFormat="1" applyFont="1" applyBorder="1" applyAlignment="1">
      <alignment horizontal="right" vertical="center" wrapText="1"/>
    </xf>
    <xf numFmtId="167" fontId="16" fillId="0" borderId="18" xfId="0" applyNumberFormat="1" applyFont="1" applyBorder="1" applyAlignment="1">
      <alignment horizontal="right" vertical="center" wrapText="1"/>
    </xf>
    <xf numFmtId="3" fontId="16" fillId="0" borderId="5" xfId="0" applyNumberFormat="1" applyFont="1" applyBorder="1" applyAlignment="1">
      <alignment horizontal="center" vertical="center" wrapText="1"/>
    </xf>
    <xf numFmtId="167" fontId="16" fillId="0" borderId="19" xfId="0" applyNumberFormat="1" applyFont="1" applyBorder="1" applyAlignment="1">
      <alignment horizontal="center"/>
    </xf>
    <xf numFmtId="9" fontId="16" fillId="0" borderId="19" xfId="0" applyNumberFormat="1" applyFont="1" applyBorder="1" applyAlignment="1">
      <alignment horizontal="center"/>
    </xf>
    <xf numFmtId="3" fontId="16" fillId="13" borderId="5" xfId="0" applyNumberFormat="1" applyFont="1" applyFill="1" applyBorder="1"/>
    <xf numFmtId="3" fontId="16" fillId="5" borderId="5" xfId="0" applyNumberFormat="1" applyFont="1" applyFill="1" applyBorder="1"/>
    <xf numFmtId="4" fontId="16" fillId="5" borderId="5" xfId="0" applyNumberFormat="1" applyFont="1" applyFill="1" applyBorder="1"/>
    <xf numFmtId="9" fontId="16" fillId="0" borderId="20" xfId="0" applyNumberFormat="1" applyFont="1" applyBorder="1" applyAlignment="1">
      <alignment horizontal="center"/>
    </xf>
    <xf numFmtId="3" fontId="16" fillId="0" borderId="21" xfId="0" applyNumberFormat="1" applyFont="1" applyBorder="1" applyAlignment="1">
      <alignment horizontal="center"/>
    </xf>
    <xf numFmtId="3" fontId="16" fillId="0" borderId="22" xfId="0" applyNumberFormat="1" applyFont="1" applyBorder="1" applyAlignment="1">
      <alignment horizontal="center"/>
    </xf>
    <xf numFmtId="3" fontId="16" fillId="19" borderId="5" xfId="0" applyNumberFormat="1" applyFont="1" applyFill="1" applyBorder="1" applyAlignment="1">
      <alignment horizontal="center" vertical="center"/>
    </xf>
    <xf numFmtId="3" fontId="16" fillId="13" borderId="5" xfId="0" applyNumberFormat="1" applyFont="1" applyFill="1" applyBorder="1" applyAlignment="1">
      <alignment horizontal="center"/>
    </xf>
    <xf numFmtId="3" fontId="16" fillId="19" borderId="5" xfId="0" applyNumberFormat="1" applyFont="1" applyFill="1" applyBorder="1"/>
    <xf numFmtId="0" fontId="42" fillId="0" borderId="0" xfId="0" applyFont="1"/>
    <xf numFmtId="3" fontId="16" fillId="5" borderId="5" xfId="1" applyNumberFormat="1" applyFont="1" applyFill="1" applyBorder="1"/>
    <xf numFmtId="0" fontId="8" fillId="0" borderId="41" xfId="0" applyFont="1" applyBorder="1" applyAlignment="1">
      <alignment horizontal="right" vertical="center" wrapText="1"/>
    </xf>
    <xf numFmtId="0" fontId="8" fillId="0" borderId="33" xfId="0" applyFont="1" applyBorder="1" applyAlignment="1">
      <alignment horizontal="right" vertical="center" wrapText="1"/>
    </xf>
    <xf numFmtId="3" fontId="8" fillId="0" borderId="33" xfId="0" applyNumberFormat="1" applyFont="1" applyBorder="1" applyAlignment="1">
      <alignment horizontal="center" vertical="center" wrapText="1"/>
    </xf>
    <xf numFmtId="14" fontId="8" fillId="0" borderId="33" xfId="0" applyNumberFormat="1" applyFont="1" applyBorder="1" applyAlignment="1">
      <alignment horizontal="right" vertical="center" wrapText="1"/>
    </xf>
    <xf numFmtId="3" fontId="8" fillId="19" borderId="5" xfId="0" applyNumberFormat="1" applyFont="1" applyFill="1" applyBorder="1" applyAlignment="1">
      <alignment horizontal="center" vertical="center"/>
    </xf>
    <xf numFmtId="3" fontId="8" fillId="23" borderId="20" xfId="0" applyNumberFormat="1" applyFont="1" applyFill="1" applyBorder="1" applyAlignment="1">
      <alignment horizontal="center" vertical="center" wrapText="1"/>
    </xf>
    <xf numFmtId="3" fontId="8" fillId="21" borderId="5" xfId="0" applyNumberFormat="1" applyFont="1" applyFill="1" applyBorder="1" applyAlignment="1">
      <alignment horizontal="center"/>
    </xf>
    <xf numFmtId="3" fontId="8" fillId="13" borderId="5" xfId="0" applyNumberFormat="1" applyFont="1" applyFill="1" applyBorder="1" applyAlignment="1">
      <alignment horizontal="center"/>
    </xf>
    <xf numFmtId="3" fontId="8" fillId="19" borderId="5" xfId="0" applyNumberFormat="1" applyFont="1" applyFill="1" applyBorder="1"/>
    <xf numFmtId="167" fontId="8" fillId="0" borderId="18" xfId="0" applyNumberFormat="1" applyFont="1" applyBorder="1" applyAlignment="1">
      <alignment horizontal="right" vertical="center" wrapText="1"/>
    </xf>
    <xf numFmtId="3" fontId="8" fillId="0" borderId="5" xfId="0" applyNumberFormat="1" applyFont="1" applyBorder="1" applyAlignment="1">
      <alignment horizontal="center" vertical="center" wrapText="1"/>
    </xf>
    <xf numFmtId="167" fontId="8" fillId="0" borderId="19" xfId="0" applyNumberFormat="1" applyFont="1" applyBorder="1" applyAlignment="1">
      <alignment horizontal="center"/>
    </xf>
    <xf numFmtId="9" fontId="8" fillId="0" borderId="19" xfId="0" applyNumberFormat="1" applyFont="1" applyBorder="1" applyAlignment="1">
      <alignment horizontal="center"/>
    </xf>
    <xf numFmtId="3" fontId="8" fillId="0" borderId="5" xfId="0" applyNumberFormat="1" applyFont="1" applyBorder="1"/>
    <xf numFmtId="3" fontId="8" fillId="13" borderId="5" xfId="0" applyNumberFormat="1" applyFont="1" applyFill="1" applyBorder="1"/>
    <xf numFmtId="9" fontId="8" fillId="0" borderId="20" xfId="0" applyNumberFormat="1" applyFont="1" applyBorder="1" applyAlignment="1">
      <alignment horizontal="center"/>
    </xf>
    <xf numFmtId="3" fontId="8" fillId="0" borderId="21" xfId="0" applyNumberFormat="1" applyFont="1" applyBorder="1" applyAlignment="1">
      <alignment horizontal="center"/>
    </xf>
    <xf numFmtId="3" fontId="8" fillId="0" borderId="22" xfId="0" applyNumberFormat="1" applyFont="1" applyBorder="1" applyAlignment="1">
      <alignment horizontal="center"/>
    </xf>
    <xf numFmtId="0" fontId="0" fillId="0" borderId="28" xfId="0" applyBorder="1"/>
    <xf numFmtId="168" fontId="20" fillId="4" borderId="0" xfId="0" applyNumberFormat="1" applyFont="1" applyFill="1" applyAlignment="1">
      <alignment horizontal="center" readingOrder="2"/>
    </xf>
    <xf numFmtId="9" fontId="6" fillId="0" borderId="28" xfId="0" applyNumberFormat="1" applyFont="1" applyBorder="1"/>
    <xf numFmtId="169" fontId="6" fillId="0" borderId="28" xfId="0" applyNumberFormat="1" applyFont="1" applyBorder="1"/>
    <xf numFmtId="0" fontId="16" fillId="0" borderId="28" xfId="0" applyFont="1" applyBorder="1"/>
    <xf numFmtId="0" fontId="9" fillId="3" borderId="1" xfId="0" applyFont="1" applyFill="1" applyBorder="1" applyAlignment="1">
      <alignment horizontal="center" vertical="center" readingOrder="2"/>
    </xf>
    <xf numFmtId="38" fontId="23" fillId="13" borderId="36" xfId="0" applyNumberFormat="1" applyFont="1" applyFill="1" applyBorder="1" applyAlignment="1">
      <alignment horizontal="center" vertical="center" readingOrder="2"/>
    </xf>
    <xf numFmtId="38" fontId="23" fillId="3" borderId="37" xfId="0" applyNumberFormat="1" applyFont="1" applyFill="1" applyBorder="1" applyAlignment="1">
      <alignment horizontal="center" vertical="center" wrapText="1" readingOrder="2"/>
    </xf>
    <xf numFmtId="38" fontId="23" fillId="3" borderId="36" xfId="0" applyNumberFormat="1" applyFont="1" applyFill="1" applyBorder="1" applyAlignment="1">
      <alignment horizontal="center" vertical="center" wrapText="1" readingOrder="2"/>
    </xf>
    <xf numFmtId="168" fontId="5" fillId="4" borderId="32" xfId="0" applyNumberFormat="1" applyFont="1" applyFill="1" applyBorder="1" applyAlignment="1">
      <alignment horizontal="center" wrapText="1" readingOrder="2"/>
    </xf>
    <xf numFmtId="3" fontId="5" fillId="4" borderId="47" xfId="0" applyNumberFormat="1" applyFont="1" applyFill="1" applyBorder="1" applyAlignment="1">
      <alignment horizontal="center" readingOrder="2"/>
    </xf>
    <xf numFmtId="3" fontId="5" fillId="4" borderId="47" xfId="0" applyNumberFormat="1" applyFont="1" applyFill="1" applyBorder="1" applyAlignment="1">
      <alignment horizontal="center" wrapText="1" readingOrder="2"/>
    </xf>
    <xf numFmtId="3" fontId="5" fillId="4" borderId="48" xfId="0" applyNumberFormat="1" applyFont="1" applyFill="1" applyBorder="1" applyAlignment="1">
      <alignment horizontal="center" readingOrder="2"/>
    </xf>
    <xf numFmtId="0" fontId="23" fillId="3" borderId="36" xfId="0" applyFont="1" applyFill="1" applyBorder="1" applyAlignment="1">
      <alignment horizontal="center" vertical="center" readingOrder="2"/>
    </xf>
    <xf numFmtId="0" fontId="6" fillId="21" borderId="37" xfId="0" applyFont="1" applyFill="1" applyBorder="1"/>
    <xf numFmtId="0" fontId="6" fillId="3" borderId="45" xfId="0" applyFont="1" applyFill="1" applyBorder="1" applyAlignment="1">
      <alignment vertical="center"/>
    </xf>
    <xf numFmtId="0" fontId="6" fillId="3" borderId="45" xfId="0" applyFont="1" applyFill="1" applyBorder="1"/>
    <xf numFmtId="0" fontId="6" fillId="3" borderId="44" xfId="0" applyFont="1" applyFill="1" applyBorder="1"/>
    <xf numFmtId="0" fontId="4" fillId="14" borderId="1" xfId="0" applyFont="1" applyFill="1" applyBorder="1" applyAlignment="1">
      <alignment horizontal="center" vertical="center" readingOrder="2"/>
    </xf>
    <xf numFmtId="0" fontId="6" fillId="3" borderId="44" xfId="0" applyFont="1" applyFill="1" applyBorder="1" applyAlignment="1">
      <alignment horizontal="center" vertical="center"/>
    </xf>
    <xf numFmtId="38" fontId="32" fillId="3" borderId="46" xfId="5" applyNumberFormat="1" applyFill="1" applyBorder="1" applyAlignment="1">
      <alignment vertical="center" wrapText="1" readingOrder="2"/>
    </xf>
    <xf numFmtId="38" fontId="32" fillId="3" borderId="45" xfId="5" applyNumberFormat="1" applyFill="1" applyBorder="1" applyAlignment="1">
      <alignment vertical="center" wrapText="1" readingOrder="2"/>
    </xf>
    <xf numFmtId="38" fontId="23" fillId="3" borderId="51" xfId="0" applyNumberFormat="1" applyFont="1" applyFill="1" applyBorder="1" applyAlignment="1">
      <alignment horizontal="center" vertical="center" readingOrder="2"/>
    </xf>
    <xf numFmtId="0" fontId="4" fillId="14" borderId="30" xfId="0" applyFont="1" applyFill="1" applyBorder="1" applyAlignment="1">
      <alignment horizontal="center" vertical="center" readingOrder="2"/>
    </xf>
    <xf numFmtId="1" fontId="4" fillId="14" borderId="1" xfId="0" applyNumberFormat="1" applyFont="1" applyFill="1" applyBorder="1" applyAlignment="1">
      <alignment horizontal="center" vertical="center" readingOrder="2"/>
    </xf>
    <xf numFmtId="38" fontId="23" fillId="3" borderId="44" xfId="0" applyNumberFormat="1" applyFont="1" applyFill="1" applyBorder="1" applyAlignment="1">
      <alignment horizontal="center" vertical="center" readingOrder="2"/>
    </xf>
    <xf numFmtId="38" fontId="23" fillId="3" borderId="1" xfId="0" applyNumberFormat="1" applyFont="1" applyFill="1" applyBorder="1" applyAlignment="1">
      <alignment horizontal="center" vertical="center" readingOrder="2"/>
    </xf>
    <xf numFmtId="3" fontId="23" fillId="4" borderId="1" xfId="0" applyNumberFormat="1" applyFont="1" applyFill="1" applyBorder="1" applyAlignment="1">
      <alignment horizontal="center" vertical="center" readingOrder="2"/>
    </xf>
    <xf numFmtId="3" fontId="5" fillId="4" borderId="1" xfId="0" applyNumberFormat="1" applyFont="1" applyFill="1" applyBorder="1" applyAlignment="1">
      <alignment horizontal="center" vertical="center" readingOrder="2"/>
    </xf>
    <xf numFmtId="38" fontId="4" fillId="3" borderId="51" xfId="0" applyNumberFormat="1" applyFont="1" applyFill="1" applyBorder="1" applyAlignment="1">
      <alignment horizontal="center" vertical="center" readingOrder="2"/>
    </xf>
    <xf numFmtId="3" fontId="23" fillId="4" borderId="51" xfId="0" applyNumberFormat="1" applyFont="1" applyFill="1" applyBorder="1" applyAlignment="1">
      <alignment horizontal="center" vertical="center" readingOrder="2"/>
    </xf>
    <xf numFmtId="3" fontId="5" fillId="4" borderId="23" xfId="0" applyNumberFormat="1" applyFont="1" applyFill="1" applyBorder="1" applyAlignment="1">
      <alignment horizontal="center" readingOrder="2"/>
    </xf>
    <xf numFmtId="3" fontId="6" fillId="5" borderId="30" xfId="0" applyNumberFormat="1" applyFont="1" applyFill="1" applyBorder="1" applyAlignment="1">
      <alignment horizontal="center" vertical="center" readingOrder="2"/>
    </xf>
    <xf numFmtId="3" fontId="6" fillId="4" borderId="31" xfId="0" applyNumberFormat="1" applyFont="1" applyFill="1" applyBorder="1" applyAlignment="1">
      <alignment horizontal="center" vertical="center" readingOrder="2"/>
    </xf>
    <xf numFmtId="3" fontId="6" fillId="5" borderId="31" xfId="0" applyNumberFormat="1" applyFont="1" applyFill="1" applyBorder="1" applyAlignment="1">
      <alignment horizontal="center" vertical="center" readingOrder="2"/>
    </xf>
    <xf numFmtId="3" fontId="5" fillId="4" borderId="44" xfId="0" applyNumberFormat="1" applyFont="1" applyFill="1" applyBorder="1" applyAlignment="1">
      <alignment horizontal="center" vertical="center" readingOrder="2"/>
    </xf>
    <xf numFmtId="3" fontId="10" fillId="2" borderId="40" xfId="0" applyNumberFormat="1" applyFont="1" applyFill="1" applyBorder="1" applyAlignment="1">
      <alignment horizontal="center" vertical="center" readingOrder="2"/>
    </xf>
    <xf numFmtId="3" fontId="23" fillId="4" borderId="52" xfId="0" applyNumberFormat="1" applyFont="1" applyFill="1" applyBorder="1" applyAlignment="1">
      <alignment horizontal="center" vertical="center" readingOrder="2"/>
    </xf>
    <xf numFmtId="3" fontId="5" fillId="4" borderId="39" xfId="0" applyNumberFormat="1" applyFont="1" applyFill="1" applyBorder="1" applyAlignment="1">
      <alignment horizontal="center" vertical="center" readingOrder="2"/>
    </xf>
    <xf numFmtId="3" fontId="6" fillId="4" borderId="39" xfId="0" applyNumberFormat="1" applyFont="1" applyFill="1" applyBorder="1" applyAlignment="1">
      <alignment horizontal="center" vertical="center" readingOrder="2"/>
    </xf>
    <xf numFmtId="0" fontId="6" fillId="3" borderId="39" xfId="0" applyFont="1" applyFill="1" applyBorder="1"/>
    <xf numFmtId="0" fontId="10" fillId="2" borderId="32" xfId="0" applyFont="1" applyFill="1" applyBorder="1" applyAlignment="1">
      <alignment horizontal="center" vertical="center" readingOrder="2"/>
    </xf>
    <xf numFmtId="3" fontId="10" fillId="2" borderId="32" xfId="0" applyNumberFormat="1" applyFont="1" applyFill="1" applyBorder="1" applyAlignment="1">
      <alignment horizontal="center" vertical="center" readingOrder="2"/>
    </xf>
    <xf numFmtId="3" fontId="23" fillId="4" borderId="32" xfId="0" applyNumberFormat="1" applyFont="1" applyFill="1" applyBorder="1" applyAlignment="1">
      <alignment horizontal="center" vertical="center" readingOrder="2"/>
    </xf>
    <xf numFmtId="3" fontId="5" fillId="4" borderId="32" xfId="0" applyNumberFormat="1" applyFont="1" applyFill="1" applyBorder="1" applyAlignment="1">
      <alignment horizontal="center" vertical="center" readingOrder="2"/>
    </xf>
    <xf numFmtId="3" fontId="6" fillId="4" borderId="32" xfId="0" applyNumberFormat="1" applyFont="1" applyFill="1" applyBorder="1" applyAlignment="1">
      <alignment horizontal="center" vertical="center" readingOrder="2"/>
    </xf>
    <xf numFmtId="38" fontId="4" fillId="3" borderId="39" xfId="0" applyNumberFormat="1" applyFont="1" applyFill="1" applyBorder="1" applyAlignment="1">
      <alignment horizontal="center" vertical="center" readingOrder="2"/>
    </xf>
    <xf numFmtId="38" fontId="4" fillId="3" borderId="40" xfId="0" applyNumberFormat="1" applyFont="1" applyFill="1" applyBorder="1" applyAlignment="1">
      <alignment horizontal="center" vertical="center" readingOrder="2"/>
    </xf>
    <xf numFmtId="3" fontId="23" fillId="4" borderId="40" xfId="0" applyNumberFormat="1" applyFont="1" applyFill="1" applyBorder="1" applyAlignment="1">
      <alignment horizontal="center" vertical="center" readingOrder="2"/>
    </xf>
    <xf numFmtId="3" fontId="5" fillId="4" borderId="52" xfId="0" applyNumberFormat="1" applyFont="1" applyFill="1" applyBorder="1" applyAlignment="1">
      <alignment horizontal="center" readingOrder="2"/>
    </xf>
    <xf numFmtId="3" fontId="6" fillId="5" borderId="40" xfId="0" applyNumberFormat="1" applyFont="1" applyFill="1" applyBorder="1" applyAlignment="1">
      <alignment horizontal="center" vertical="center" readingOrder="2"/>
    </xf>
    <xf numFmtId="3" fontId="5" fillId="4" borderId="40" xfId="0" applyNumberFormat="1" applyFont="1" applyFill="1" applyBorder="1" applyAlignment="1">
      <alignment horizontal="center" vertical="center" readingOrder="2"/>
    </xf>
    <xf numFmtId="0" fontId="0" fillId="0" borderId="1" xfId="0" applyBorder="1"/>
    <xf numFmtId="0" fontId="6" fillId="3" borderId="40" xfId="0" applyFont="1" applyFill="1" applyBorder="1"/>
    <xf numFmtId="38" fontId="23" fillId="3" borderId="40" xfId="0" applyNumberFormat="1" applyFont="1" applyFill="1" applyBorder="1" applyAlignment="1">
      <alignment horizontal="center" vertical="center" readingOrder="2"/>
    </xf>
    <xf numFmtId="3" fontId="6" fillId="4" borderId="40" xfId="0" applyNumberFormat="1" applyFont="1" applyFill="1" applyBorder="1" applyAlignment="1">
      <alignment horizontal="center" vertical="center" readingOrder="2"/>
    </xf>
    <xf numFmtId="38" fontId="23" fillId="3" borderId="39" xfId="0" applyNumberFormat="1" applyFont="1" applyFill="1" applyBorder="1" applyAlignment="1">
      <alignment horizontal="center" vertical="center" readingOrder="2"/>
    </xf>
    <xf numFmtId="0" fontId="6" fillId="3" borderId="41" xfId="0" applyFont="1" applyFill="1" applyBorder="1"/>
    <xf numFmtId="0" fontId="43" fillId="3" borderId="1" xfId="0" applyFont="1" applyFill="1" applyBorder="1" applyAlignment="1">
      <alignment horizontal="center" vertical="center" readingOrder="2"/>
    </xf>
    <xf numFmtId="38" fontId="43" fillId="3" borderId="1" xfId="0" applyNumberFormat="1" applyFont="1" applyFill="1" applyBorder="1" applyAlignment="1">
      <alignment horizontal="center" vertical="center" readingOrder="2"/>
    </xf>
    <xf numFmtId="38" fontId="43" fillId="3" borderId="28" xfId="0" applyNumberFormat="1" applyFont="1" applyFill="1" applyBorder="1" applyAlignment="1">
      <alignment horizontal="left" vertical="center" readingOrder="2"/>
    </xf>
    <xf numFmtId="3" fontId="5" fillId="4" borderId="0" xfId="0" applyNumberFormat="1" applyFont="1" applyFill="1" applyAlignment="1">
      <alignment horizontal="center" readingOrder="2"/>
    </xf>
    <xf numFmtId="0" fontId="6" fillId="3" borderId="53" xfId="0" applyFont="1" applyFill="1" applyBorder="1"/>
    <xf numFmtId="38" fontId="23" fillId="3" borderId="54" xfId="0" applyNumberFormat="1" applyFont="1" applyFill="1" applyBorder="1" applyAlignment="1">
      <alignment horizontal="center" vertical="center" readingOrder="2"/>
    </xf>
    <xf numFmtId="0" fontId="6" fillId="3" borderId="44" xfId="0" applyFont="1" applyFill="1" applyBorder="1" applyAlignment="1">
      <alignment horizontal="center"/>
    </xf>
    <xf numFmtId="0" fontId="6" fillId="3" borderId="45" xfId="0" applyFont="1" applyFill="1" applyBorder="1" applyAlignment="1">
      <alignment horizontal="center"/>
    </xf>
    <xf numFmtId="168" fontId="5" fillId="4" borderId="32" xfId="0" applyNumberFormat="1" applyFont="1" applyFill="1" applyBorder="1" applyAlignment="1">
      <alignment horizontal="center" readingOrder="2"/>
    </xf>
    <xf numFmtId="168" fontId="5" fillId="4" borderId="30" xfId="0" applyNumberFormat="1" applyFont="1" applyFill="1" applyBorder="1" applyAlignment="1">
      <alignment horizontal="center" wrapText="1" readingOrder="2"/>
    </xf>
    <xf numFmtId="168" fontId="20" fillId="4" borderId="32" xfId="0" applyNumberFormat="1" applyFont="1" applyFill="1" applyBorder="1" applyAlignment="1">
      <alignment horizontal="center" readingOrder="2"/>
    </xf>
    <xf numFmtId="0" fontId="0" fillId="0" borderId="41" xfId="0" applyBorder="1"/>
    <xf numFmtId="49" fontId="5" fillId="4" borderId="41" xfId="0" applyNumberFormat="1" applyFont="1" applyFill="1" applyBorder="1" applyAlignment="1">
      <alignment horizontal="center" readingOrder="2"/>
    </xf>
    <xf numFmtId="49" fontId="5" fillId="4" borderId="32" xfId="0" applyNumberFormat="1" applyFont="1" applyFill="1" applyBorder="1" applyAlignment="1">
      <alignment horizontal="center" readingOrder="2"/>
    </xf>
    <xf numFmtId="0" fontId="0" fillId="0" borderId="29" xfId="0" applyBorder="1"/>
    <xf numFmtId="0" fontId="4" fillId="24" borderId="1" xfId="0" applyFont="1" applyFill="1" applyBorder="1" applyAlignment="1">
      <alignment horizontal="center" vertical="center" readingOrder="2"/>
    </xf>
    <xf numFmtId="38" fontId="4" fillId="24" borderId="1" xfId="0" applyNumberFormat="1" applyFont="1" applyFill="1" applyBorder="1" applyAlignment="1">
      <alignment horizontal="center" vertical="center" readingOrder="2"/>
    </xf>
    <xf numFmtId="38" fontId="4" fillId="24" borderId="28" xfId="0" applyNumberFormat="1" applyFont="1" applyFill="1" applyBorder="1" applyAlignment="1">
      <alignment horizontal="left" vertical="center" readingOrder="2"/>
    </xf>
    <xf numFmtId="168" fontId="5" fillId="25" borderId="28" xfId="0" applyNumberFormat="1" applyFont="1" applyFill="1" applyBorder="1" applyAlignment="1">
      <alignment horizontal="center" readingOrder="2"/>
    </xf>
    <xf numFmtId="168" fontId="5" fillId="25" borderId="28" xfId="0" applyNumberFormat="1" applyFont="1" applyFill="1" applyBorder="1" applyAlignment="1">
      <alignment horizontal="center" wrapText="1" readingOrder="2"/>
    </xf>
    <xf numFmtId="3" fontId="5" fillId="25" borderId="28" xfId="0" applyNumberFormat="1" applyFont="1" applyFill="1" applyBorder="1" applyAlignment="1">
      <alignment horizontal="center" readingOrder="2"/>
    </xf>
    <xf numFmtId="0" fontId="0" fillId="26" borderId="0" xfId="0" applyFill="1"/>
    <xf numFmtId="0" fontId="4" fillId="27" borderId="1" xfId="0" applyFont="1" applyFill="1" applyBorder="1" applyAlignment="1">
      <alignment horizontal="center" vertical="center" readingOrder="2"/>
    </xf>
    <xf numFmtId="38" fontId="4" fillId="27" borderId="1" xfId="0" applyNumberFormat="1" applyFont="1" applyFill="1" applyBorder="1" applyAlignment="1">
      <alignment horizontal="center" vertical="center" readingOrder="2"/>
    </xf>
    <xf numFmtId="38" fontId="4" fillId="27" borderId="28" xfId="0" applyNumberFormat="1" applyFont="1" applyFill="1" applyBorder="1" applyAlignment="1">
      <alignment horizontal="left" vertical="center" readingOrder="2"/>
    </xf>
    <xf numFmtId="168" fontId="5" fillId="28" borderId="28" xfId="0" applyNumberFormat="1" applyFont="1" applyFill="1" applyBorder="1" applyAlignment="1">
      <alignment horizontal="center" wrapText="1" readingOrder="2"/>
    </xf>
    <xf numFmtId="3" fontId="5" fillId="28" borderId="28" xfId="0" applyNumberFormat="1" applyFont="1" applyFill="1" applyBorder="1" applyAlignment="1">
      <alignment horizontal="center" readingOrder="2"/>
    </xf>
    <xf numFmtId="0" fontId="0" fillId="17" borderId="0" xfId="0" applyFill="1"/>
    <xf numFmtId="0" fontId="43" fillId="27" borderId="1" xfId="0" applyFont="1" applyFill="1" applyBorder="1" applyAlignment="1">
      <alignment horizontal="center" vertical="center" readingOrder="2"/>
    </xf>
    <xf numFmtId="38" fontId="43" fillId="27" borderId="1" xfId="0" applyNumberFormat="1" applyFont="1" applyFill="1" applyBorder="1" applyAlignment="1">
      <alignment horizontal="center" vertical="center" readingOrder="2"/>
    </xf>
    <xf numFmtId="38" fontId="43" fillId="27" borderId="28" xfId="0" applyNumberFormat="1" applyFont="1" applyFill="1" applyBorder="1" applyAlignment="1">
      <alignment horizontal="left" vertical="center" readingOrder="2"/>
    </xf>
    <xf numFmtId="168" fontId="28" fillId="28" borderId="28" xfId="0" applyNumberFormat="1" applyFont="1" applyFill="1" applyBorder="1" applyAlignment="1">
      <alignment horizontal="center" readingOrder="2"/>
    </xf>
    <xf numFmtId="168" fontId="28" fillId="28" borderId="28" xfId="0" applyNumberFormat="1" applyFont="1" applyFill="1" applyBorder="1" applyAlignment="1">
      <alignment horizontal="center" wrapText="1" readingOrder="2"/>
    </xf>
    <xf numFmtId="3" fontId="28" fillId="28" borderId="28" xfId="0" applyNumberFormat="1" applyFont="1" applyFill="1" applyBorder="1" applyAlignment="1">
      <alignment horizontal="center" readingOrder="2"/>
    </xf>
    <xf numFmtId="3" fontId="9" fillId="28" borderId="28" xfId="0" applyNumberFormat="1" applyFont="1" applyFill="1" applyBorder="1" applyAlignment="1">
      <alignment horizontal="center" wrapText="1" readingOrder="2"/>
    </xf>
    <xf numFmtId="0" fontId="6" fillId="3" borderId="50" xfId="0" applyFont="1" applyFill="1" applyBorder="1"/>
    <xf numFmtId="0" fontId="4" fillId="27" borderId="30" xfId="0" applyFont="1" applyFill="1" applyBorder="1" applyAlignment="1">
      <alignment horizontal="center" vertical="center" readingOrder="2"/>
    </xf>
    <xf numFmtId="38" fontId="4" fillId="27" borderId="41" xfId="0" applyNumberFormat="1" applyFont="1" applyFill="1" applyBorder="1" applyAlignment="1">
      <alignment horizontal="center" vertical="center" readingOrder="2"/>
    </xf>
    <xf numFmtId="168" fontId="5" fillId="25" borderId="1" xfId="0" applyNumberFormat="1" applyFont="1" applyFill="1" applyBorder="1" applyAlignment="1">
      <alignment horizontal="center" readingOrder="2"/>
    </xf>
    <xf numFmtId="168" fontId="5" fillId="28" borderId="41" xfId="0" applyNumberFormat="1" applyFont="1" applyFill="1" applyBorder="1" applyAlignment="1">
      <alignment horizontal="center" readingOrder="2"/>
    </xf>
    <xf numFmtId="168" fontId="5" fillId="28" borderId="1" xfId="0" applyNumberFormat="1" applyFont="1" applyFill="1" applyBorder="1" applyAlignment="1">
      <alignment horizontal="center" readingOrder="2"/>
    </xf>
    <xf numFmtId="3" fontId="5" fillId="28" borderId="41" xfId="0" applyNumberFormat="1" applyFont="1" applyFill="1" applyBorder="1" applyAlignment="1">
      <alignment horizontal="center" readingOrder="2"/>
    </xf>
    <xf numFmtId="3" fontId="5" fillId="25" borderId="1" xfId="0" applyNumberFormat="1" applyFont="1" applyFill="1" applyBorder="1" applyAlignment="1">
      <alignment horizontal="center" readingOrder="2"/>
    </xf>
    <xf numFmtId="3" fontId="5" fillId="28" borderId="1" xfId="0" applyNumberFormat="1" applyFont="1" applyFill="1" applyBorder="1" applyAlignment="1">
      <alignment horizontal="center" readingOrder="2"/>
    </xf>
    <xf numFmtId="3" fontId="5" fillId="25" borderId="1" xfId="0" applyNumberFormat="1" applyFont="1" applyFill="1" applyBorder="1" applyAlignment="1">
      <alignment horizontal="center" wrapText="1" readingOrder="2"/>
    </xf>
    <xf numFmtId="3" fontId="5" fillId="28" borderId="41" xfId="0" applyNumberFormat="1" applyFont="1" applyFill="1" applyBorder="1" applyAlignment="1">
      <alignment horizontal="center" wrapText="1" readingOrder="2"/>
    </xf>
    <xf numFmtId="3" fontId="5" fillId="28" borderId="1" xfId="0" applyNumberFormat="1" applyFont="1" applyFill="1" applyBorder="1" applyAlignment="1">
      <alignment horizontal="center" wrapText="1" readingOrder="2"/>
    </xf>
    <xf numFmtId="3" fontId="6" fillId="13" borderId="22" xfId="0" applyNumberFormat="1" applyFont="1" applyFill="1" applyBorder="1" applyAlignment="1">
      <alignment horizontal="center"/>
    </xf>
    <xf numFmtId="3" fontId="16" fillId="13" borderId="22" xfId="0" applyNumberFormat="1" applyFont="1" applyFill="1" applyBorder="1" applyAlignment="1">
      <alignment horizontal="center"/>
    </xf>
    <xf numFmtId="4" fontId="6" fillId="0" borderId="41" xfId="0" applyNumberFormat="1" applyFont="1" applyBorder="1" applyAlignment="1">
      <alignment readingOrder="1"/>
    </xf>
    <xf numFmtId="3" fontId="6" fillId="29" borderId="5" xfId="0" applyNumberFormat="1" applyFont="1" applyFill="1" applyBorder="1"/>
    <xf numFmtId="3" fontId="17" fillId="4" borderId="39" xfId="0" applyNumberFormat="1" applyFont="1" applyFill="1" applyBorder="1" applyAlignment="1">
      <alignment horizontal="center" vertical="center" readingOrder="2"/>
    </xf>
    <xf numFmtId="3" fontId="16" fillId="5" borderId="39" xfId="0" applyNumberFormat="1" applyFont="1" applyFill="1" applyBorder="1" applyAlignment="1">
      <alignment horizontal="center" vertical="center" readingOrder="2"/>
    </xf>
    <xf numFmtId="38" fontId="32" fillId="3" borderId="1" xfId="5" applyNumberFormat="1" applyFill="1" applyBorder="1" applyAlignment="1">
      <alignment horizontal="center" vertical="center" readingOrder="2"/>
    </xf>
    <xf numFmtId="0" fontId="6" fillId="3" borderId="1" xfId="0" applyFont="1" applyFill="1" applyBorder="1"/>
    <xf numFmtId="3" fontId="6" fillId="29" borderId="22" xfId="0" applyNumberFormat="1" applyFont="1" applyFill="1" applyBorder="1" applyAlignment="1">
      <alignment horizontal="center"/>
    </xf>
    <xf numFmtId="3" fontId="16" fillId="29" borderId="22" xfId="0" applyNumberFormat="1" applyFont="1" applyFill="1" applyBorder="1" applyAlignment="1">
      <alignment horizontal="center"/>
    </xf>
    <xf numFmtId="4" fontId="0" fillId="0" borderId="0" xfId="0" applyNumberFormat="1"/>
    <xf numFmtId="0" fontId="8" fillId="0" borderId="8" xfId="0" applyFont="1" applyBorder="1"/>
    <xf numFmtId="0" fontId="8" fillId="0" borderId="9" xfId="0" applyFont="1" applyBorder="1"/>
    <xf numFmtId="17" fontId="14" fillId="7" borderId="55" xfId="0" applyNumberFormat="1" applyFont="1" applyFill="1" applyBorder="1" applyAlignment="1">
      <alignment horizontal="center"/>
    </xf>
    <xf numFmtId="0" fontId="8" fillId="0" borderId="11" xfId="0" applyFont="1" applyBorder="1"/>
    <xf numFmtId="0" fontId="8" fillId="0" borderId="56" xfId="0" applyFont="1" applyBorder="1"/>
    <xf numFmtId="17" fontId="14" fillId="7" borderId="8" xfId="0" applyNumberFormat="1" applyFont="1" applyFill="1" applyBorder="1" applyAlignment="1">
      <alignment horizontal="center" wrapText="1"/>
    </xf>
    <xf numFmtId="17" fontId="14" fillId="7" borderId="8" xfId="0" applyNumberFormat="1" applyFont="1" applyFill="1" applyBorder="1" applyAlignment="1">
      <alignment horizontal="center"/>
    </xf>
    <xf numFmtId="38" fontId="32" fillId="3" borderId="54" xfId="5" applyNumberFormat="1" applyFill="1" applyBorder="1" applyAlignment="1">
      <alignment vertical="center" wrapText="1" readingOrder="2"/>
    </xf>
    <xf numFmtId="38" fontId="23" fillId="3" borderId="36" xfId="0" applyNumberFormat="1" applyFont="1" applyFill="1" applyBorder="1" applyAlignment="1">
      <alignment horizontal="right" vertical="center" wrapText="1" readingOrder="2"/>
    </xf>
    <xf numFmtId="38" fontId="32" fillId="3" borderId="40" xfId="5" applyNumberFormat="1" applyFill="1" applyBorder="1" applyAlignment="1">
      <alignment horizontal="center" vertical="center" readingOrder="2"/>
    </xf>
    <xf numFmtId="3" fontId="1" fillId="30" borderId="36" xfId="6" applyNumberFormat="1" applyBorder="1" applyAlignment="1">
      <alignment horizontal="center" vertical="center" readingOrder="2"/>
    </xf>
    <xf numFmtId="3" fontId="1" fillId="30" borderId="33" xfId="6" applyNumberFormat="1" applyBorder="1" applyAlignment="1">
      <alignment horizontal="center" vertical="center" readingOrder="2"/>
    </xf>
    <xf numFmtId="3" fontId="1" fillId="30" borderId="1" xfId="6" applyNumberFormat="1" applyBorder="1" applyAlignment="1">
      <alignment horizontal="center" vertical="center" readingOrder="2"/>
    </xf>
    <xf numFmtId="3" fontId="1" fillId="30" borderId="29" xfId="6" applyNumberFormat="1" applyBorder="1" applyAlignment="1">
      <alignment horizontal="center" vertical="center" readingOrder="2"/>
    </xf>
    <xf numFmtId="38" fontId="23" fillId="31" borderId="36" xfId="0" applyNumberFormat="1" applyFont="1" applyFill="1" applyBorder="1" applyAlignment="1">
      <alignment horizontal="center" vertical="center" readingOrder="2"/>
    </xf>
    <xf numFmtId="38" fontId="1" fillId="31" borderId="44" xfId="6" applyNumberFormat="1" applyFill="1" applyBorder="1" applyAlignment="1">
      <alignment horizontal="center" vertical="center" readingOrder="2"/>
    </xf>
    <xf numFmtId="38" fontId="1" fillId="31" borderId="36" xfId="6" applyNumberFormat="1" applyFill="1" applyBorder="1" applyAlignment="1">
      <alignment horizontal="center" vertical="center" readingOrder="2"/>
    </xf>
    <xf numFmtId="38" fontId="1" fillId="31" borderId="37" xfId="6" applyNumberFormat="1" applyFill="1" applyBorder="1" applyAlignment="1">
      <alignment horizontal="center" vertical="center" readingOrder="2"/>
    </xf>
    <xf numFmtId="38" fontId="32" fillId="31" borderId="36" xfId="5" applyNumberFormat="1" applyFill="1" applyBorder="1" applyAlignment="1">
      <alignment horizontal="center" vertical="center" readingOrder="2"/>
    </xf>
    <xf numFmtId="38" fontId="23" fillId="31" borderId="37" xfId="0" applyNumberFormat="1" applyFont="1" applyFill="1" applyBorder="1" applyAlignment="1">
      <alignment horizontal="center" vertical="center" readingOrder="2"/>
    </xf>
    <xf numFmtId="0" fontId="26" fillId="0" borderId="0" xfId="0" applyFont="1"/>
    <xf numFmtId="4" fontId="26" fillId="0" borderId="0" xfId="0" applyNumberFormat="1" applyFont="1"/>
    <xf numFmtId="3" fontId="26" fillId="0" borderId="0" xfId="0" applyNumberFormat="1" applyFont="1"/>
    <xf numFmtId="38" fontId="5" fillId="3" borderId="47" xfId="0" applyNumberFormat="1" applyFont="1" applyFill="1" applyBorder="1" applyAlignment="1">
      <alignment horizontal="center" vertical="center" readingOrder="2"/>
    </xf>
    <xf numFmtId="38" fontId="5" fillId="3" borderId="1" xfId="0" applyNumberFormat="1" applyFont="1" applyFill="1" applyBorder="1" applyAlignment="1">
      <alignment horizontal="center" vertical="center" readingOrder="2"/>
    </xf>
    <xf numFmtId="38" fontId="5" fillId="3" borderId="39" xfId="0" applyNumberFormat="1" applyFont="1" applyFill="1" applyBorder="1" applyAlignment="1">
      <alignment horizontal="center" vertical="center" readingOrder="2"/>
    </xf>
    <xf numFmtId="38" fontId="5" fillId="3" borderId="40" xfId="0" applyNumberFormat="1" applyFont="1" applyFill="1" applyBorder="1" applyAlignment="1">
      <alignment horizontal="center" vertical="center" readingOrder="2"/>
    </xf>
    <xf numFmtId="38" fontId="23" fillId="32" borderId="37" xfId="0" applyNumberFormat="1" applyFont="1" applyFill="1" applyBorder="1" applyAlignment="1">
      <alignment horizontal="center" vertical="center" readingOrder="2"/>
    </xf>
    <xf numFmtId="14" fontId="28" fillId="32" borderId="37" xfId="0" applyNumberFormat="1" applyFont="1" applyFill="1" applyBorder="1" applyAlignment="1">
      <alignment horizontal="center" vertical="center" readingOrder="2"/>
    </xf>
    <xf numFmtId="14" fontId="23" fillId="32" borderId="37" xfId="0" applyNumberFormat="1" applyFont="1" applyFill="1" applyBorder="1" applyAlignment="1">
      <alignment horizontal="center" vertical="center" readingOrder="2"/>
    </xf>
    <xf numFmtId="38" fontId="23" fillId="33" borderId="37" xfId="0" applyNumberFormat="1" applyFont="1" applyFill="1" applyBorder="1" applyAlignment="1">
      <alignment horizontal="center" vertical="center" readingOrder="2"/>
    </xf>
    <xf numFmtId="38" fontId="9" fillId="32" borderId="37" xfId="0" applyNumberFormat="1" applyFont="1" applyFill="1" applyBorder="1" applyAlignment="1">
      <alignment horizontal="center" vertical="center" readingOrder="2"/>
    </xf>
    <xf numFmtId="38" fontId="23" fillId="3" borderId="1" xfId="0" applyNumberFormat="1" applyFont="1" applyFill="1" applyBorder="1" applyAlignment="1">
      <alignment horizontal="center" vertical="center" wrapText="1" readingOrder="2"/>
    </xf>
    <xf numFmtId="3" fontId="5" fillId="4" borderId="29" xfId="0" applyNumberFormat="1" applyFont="1" applyFill="1" applyBorder="1" applyAlignment="1">
      <alignment horizontal="center" readingOrder="2"/>
    </xf>
    <xf numFmtId="3" fontId="5" fillId="4" borderId="39" xfId="0" applyNumberFormat="1" applyFont="1" applyFill="1" applyBorder="1" applyAlignment="1">
      <alignment horizontal="center" readingOrder="2"/>
    </xf>
    <xf numFmtId="14" fontId="23" fillId="33" borderId="37" xfId="0" applyNumberFormat="1" applyFont="1" applyFill="1" applyBorder="1" applyAlignment="1">
      <alignment horizontal="center" vertical="center" readingOrder="2"/>
    </xf>
    <xf numFmtId="3" fontId="16" fillId="4" borderId="1" xfId="0" applyNumberFormat="1" applyFont="1" applyFill="1" applyBorder="1" applyAlignment="1">
      <alignment horizontal="center" vertical="center" readingOrder="2"/>
    </xf>
    <xf numFmtId="38" fontId="23" fillId="3" borderId="30" xfId="0" applyNumberFormat="1" applyFont="1" applyFill="1" applyBorder="1" applyAlignment="1">
      <alignment horizontal="center" vertical="center" readingOrder="2"/>
    </xf>
    <xf numFmtId="38" fontId="23" fillId="3" borderId="57" xfId="0" applyNumberFormat="1" applyFont="1" applyFill="1" applyBorder="1" applyAlignment="1">
      <alignment horizontal="center" vertical="center" readingOrder="2"/>
    </xf>
    <xf numFmtId="3" fontId="23" fillId="21" borderId="40" xfId="0" applyNumberFormat="1" applyFont="1" applyFill="1" applyBorder="1" applyAlignment="1">
      <alignment horizontal="center" vertical="center" readingOrder="2"/>
    </xf>
    <xf numFmtId="38" fontId="23" fillId="33" borderId="40" xfId="0" applyNumberFormat="1" applyFont="1" applyFill="1" applyBorder="1" applyAlignment="1">
      <alignment horizontal="center" vertical="center" readingOrder="2"/>
    </xf>
    <xf numFmtId="38" fontId="23" fillId="3" borderId="59" xfId="0" applyNumberFormat="1" applyFont="1" applyFill="1" applyBorder="1" applyAlignment="1">
      <alignment horizontal="center" vertical="center" readingOrder="2"/>
    </xf>
    <xf numFmtId="3" fontId="23" fillId="4" borderId="39" xfId="0" applyNumberFormat="1" applyFont="1" applyFill="1" applyBorder="1" applyAlignment="1">
      <alignment horizontal="center" vertical="center" readingOrder="2"/>
    </xf>
    <xf numFmtId="38" fontId="23" fillId="33" borderId="1" xfId="0" applyNumberFormat="1" applyFont="1" applyFill="1" applyBorder="1" applyAlignment="1">
      <alignment horizontal="center" vertical="center" readingOrder="2"/>
    </xf>
    <xf numFmtId="38" fontId="4" fillId="3" borderId="4" xfId="0" applyNumberFormat="1" applyFont="1" applyFill="1" applyBorder="1" applyAlignment="1">
      <alignment horizontal="center" vertical="center" readingOrder="2"/>
    </xf>
    <xf numFmtId="3" fontId="23" fillId="4" borderId="57" xfId="0" applyNumberFormat="1" applyFont="1" applyFill="1" applyBorder="1" applyAlignment="1">
      <alignment horizontal="center" vertical="center" readingOrder="2"/>
    </xf>
    <xf numFmtId="0" fontId="6" fillId="3" borderId="47" xfId="0" applyFont="1" applyFill="1" applyBorder="1"/>
    <xf numFmtId="38" fontId="5" fillId="3" borderId="57" xfId="0" applyNumberFormat="1" applyFont="1" applyFill="1" applyBorder="1" applyAlignment="1">
      <alignment horizontal="center" vertical="center" readingOrder="2"/>
    </xf>
    <xf numFmtId="3" fontId="6" fillId="5" borderId="57" xfId="0" applyNumberFormat="1" applyFont="1" applyFill="1" applyBorder="1" applyAlignment="1">
      <alignment horizontal="center" vertical="center" readingOrder="2"/>
    </xf>
    <xf numFmtId="3" fontId="6" fillId="4" borderId="4" xfId="0" applyNumberFormat="1" applyFont="1" applyFill="1" applyBorder="1" applyAlignment="1">
      <alignment horizontal="center" vertical="center" readingOrder="2"/>
    </xf>
    <xf numFmtId="3" fontId="5" fillId="4" borderId="57" xfId="0" applyNumberFormat="1" applyFont="1" applyFill="1" applyBorder="1" applyAlignment="1">
      <alignment horizontal="center" vertical="center" readingOrder="2"/>
    </xf>
    <xf numFmtId="3" fontId="17" fillId="4" borderId="40" xfId="0" applyNumberFormat="1" applyFont="1" applyFill="1" applyBorder="1" applyAlignment="1">
      <alignment horizontal="center" vertical="center" readingOrder="2"/>
    </xf>
    <xf numFmtId="3" fontId="16" fillId="5" borderId="40" xfId="0" applyNumberFormat="1" applyFont="1" applyFill="1" applyBorder="1" applyAlignment="1">
      <alignment horizontal="center" vertical="center" readingOrder="2"/>
    </xf>
    <xf numFmtId="38" fontId="23" fillId="32" borderId="44" xfId="0" applyNumberFormat="1" applyFont="1" applyFill="1" applyBorder="1" applyAlignment="1">
      <alignment horizontal="center" vertical="center" readingOrder="2"/>
    </xf>
    <xf numFmtId="38" fontId="23" fillId="32" borderId="1" xfId="0" applyNumberFormat="1" applyFont="1" applyFill="1" applyBorder="1" applyAlignment="1">
      <alignment horizontal="center" vertical="center" readingOrder="2"/>
    </xf>
    <xf numFmtId="38" fontId="23" fillId="13" borderId="40" xfId="0" applyNumberFormat="1" applyFont="1" applyFill="1" applyBorder="1" applyAlignment="1">
      <alignment horizontal="center" vertical="center" wrapText="1" readingOrder="2"/>
    </xf>
    <xf numFmtId="38" fontId="23" fillId="3" borderId="4" xfId="0" applyNumberFormat="1" applyFont="1" applyFill="1" applyBorder="1" applyAlignment="1">
      <alignment horizontal="center" vertical="center" readingOrder="2"/>
    </xf>
    <xf numFmtId="38" fontId="23" fillId="32" borderId="57" xfId="0" applyNumberFormat="1" applyFont="1" applyFill="1" applyBorder="1" applyAlignment="1">
      <alignment horizontal="center" vertical="center" readingOrder="2"/>
    </xf>
    <xf numFmtId="38" fontId="23" fillId="32" borderId="40" xfId="0" applyNumberFormat="1" applyFont="1" applyFill="1" applyBorder="1" applyAlignment="1">
      <alignment horizontal="center" vertical="center" readingOrder="2"/>
    </xf>
    <xf numFmtId="38" fontId="23" fillId="31" borderId="39" xfId="0" applyNumberFormat="1" applyFont="1" applyFill="1" applyBorder="1" applyAlignment="1">
      <alignment horizontal="center" vertical="center" readingOrder="2"/>
    </xf>
    <xf numFmtId="38" fontId="23" fillId="31" borderId="40" xfId="0" applyNumberFormat="1" applyFont="1" applyFill="1" applyBorder="1" applyAlignment="1">
      <alignment horizontal="center" vertical="center" readingOrder="2"/>
    </xf>
    <xf numFmtId="38" fontId="23" fillId="3" borderId="39" xfId="0" applyNumberFormat="1" applyFont="1" applyFill="1" applyBorder="1" applyAlignment="1">
      <alignment horizontal="center" vertical="center" wrapText="1" readingOrder="2"/>
    </xf>
    <xf numFmtId="38" fontId="23" fillId="3" borderId="45" xfId="0" applyNumberFormat="1" applyFont="1" applyFill="1" applyBorder="1" applyAlignment="1">
      <alignment horizontal="center" vertical="center" readingOrder="2"/>
    </xf>
    <xf numFmtId="38" fontId="4" fillId="32" borderId="40" xfId="0" applyNumberFormat="1" applyFont="1" applyFill="1" applyBorder="1" applyAlignment="1">
      <alignment horizontal="center" vertical="center" readingOrder="2"/>
    </xf>
    <xf numFmtId="38" fontId="5" fillId="3" borderId="4" xfId="0" applyNumberFormat="1" applyFont="1" applyFill="1" applyBorder="1" applyAlignment="1">
      <alignment horizontal="center" vertical="center" readingOrder="2"/>
    </xf>
    <xf numFmtId="38" fontId="32" fillId="3" borderId="28" xfId="5" applyNumberFormat="1" applyFill="1" applyBorder="1" applyAlignment="1">
      <alignment horizontal="center" vertical="center" wrapText="1" readingOrder="2"/>
    </xf>
    <xf numFmtId="38" fontId="32" fillId="3" borderId="51" xfId="5" applyNumberFormat="1" applyFill="1" applyBorder="1" applyAlignment="1">
      <alignment horizontal="center" vertical="center" readingOrder="2"/>
    </xf>
    <xf numFmtId="0" fontId="11" fillId="9" borderId="32" xfId="0" applyFont="1" applyFill="1" applyBorder="1" applyAlignment="1">
      <alignment horizontal="center" vertical="center" wrapText="1" shrinkToFit="1" readingOrder="2"/>
    </xf>
    <xf numFmtId="0" fontId="15" fillId="9" borderId="32" xfId="0" applyFont="1" applyFill="1" applyBorder="1" applyAlignment="1">
      <alignment horizontal="center" vertical="center" wrapText="1" readingOrder="2"/>
    </xf>
    <xf numFmtId="0" fontId="10" fillId="2" borderId="1" xfId="0" applyFont="1" applyFill="1" applyBorder="1" applyAlignment="1">
      <alignment horizontal="center" vertical="center" wrapText="1" readingOrder="2"/>
    </xf>
    <xf numFmtId="0" fontId="10" fillId="2" borderId="35" xfId="0" applyFont="1" applyFill="1" applyBorder="1" applyAlignment="1">
      <alignment horizontal="center" vertical="center" wrapText="1" readingOrder="2"/>
    </xf>
    <xf numFmtId="38" fontId="1" fillId="31" borderId="36" xfId="6" applyNumberFormat="1" applyFill="1" applyBorder="1" applyAlignment="1">
      <alignment horizontal="center" vertical="center" wrapText="1" readingOrder="2"/>
    </xf>
    <xf numFmtId="38" fontId="28" fillId="3" borderId="36" xfId="0" applyNumberFormat="1" applyFont="1" applyFill="1" applyBorder="1" applyAlignment="1">
      <alignment horizontal="center" vertical="center" wrapText="1" readingOrder="2"/>
    </xf>
    <xf numFmtId="38" fontId="23" fillId="31" borderId="36" xfId="0" applyNumberFormat="1" applyFont="1" applyFill="1" applyBorder="1" applyAlignment="1">
      <alignment horizontal="center" vertical="center" wrapText="1" readingOrder="2"/>
    </xf>
    <xf numFmtId="38" fontId="9" fillId="3" borderId="36" xfId="0" applyNumberFormat="1" applyFont="1" applyFill="1" applyBorder="1" applyAlignment="1">
      <alignment horizontal="center" vertical="center" wrapText="1" readingOrder="2"/>
    </xf>
    <xf numFmtId="38" fontId="23" fillId="15" borderId="36" xfId="0" applyNumberFormat="1" applyFont="1" applyFill="1" applyBorder="1" applyAlignment="1">
      <alignment horizontal="center" vertical="center" wrapText="1" readingOrder="2"/>
    </xf>
    <xf numFmtId="38" fontId="34" fillId="31" borderId="36" xfId="0" applyNumberFormat="1" applyFont="1" applyFill="1" applyBorder="1" applyAlignment="1">
      <alignment horizontal="center" vertical="center" wrapText="1" readingOrder="2"/>
    </xf>
    <xf numFmtId="38" fontId="23" fillId="3" borderId="51" xfId="0" applyNumberFormat="1" applyFont="1" applyFill="1" applyBorder="1" applyAlignment="1">
      <alignment horizontal="center" vertical="center" wrapText="1" readingOrder="2"/>
    </xf>
    <xf numFmtId="38" fontId="23" fillId="3" borderId="54" xfId="0" applyNumberFormat="1" applyFont="1" applyFill="1" applyBorder="1" applyAlignment="1">
      <alignment horizontal="center" vertical="center" wrapText="1" readingOrder="2"/>
    </xf>
    <xf numFmtId="38" fontId="23" fillId="3" borderId="33" xfId="0" applyNumberFormat="1" applyFont="1" applyFill="1" applyBorder="1" applyAlignment="1">
      <alignment horizontal="center" vertical="center" wrapText="1" readingOrder="2"/>
    </xf>
    <xf numFmtId="38" fontId="23" fillId="3" borderId="23" xfId="0" applyNumberFormat="1" applyFont="1" applyFill="1" applyBorder="1" applyAlignment="1">
      <alignment horizontal="center" vertical="center" wrapText="1" readingOrder="2"/>
    </xf>
    <xf numFmtId="38" fontId="23" fillId="3" borderId="58" xfId="0" applyNumberFormat="1" applyFont="1" applyFill="1" applyBorder="1" applyAlignment="1">
      <alignment horizontal="center" vertical="center" wrapText="1" readingOrder="2"/>
    </xf>
    <xf numFmtId="38" fontId="23" fillId="3" borderId="52" xfId="0" applyNumberFormat="1" applyFont="1" applyFill="1" applyBorder="1" applyAlignment="1">
      <alignment horizontal="center" vertical="center" wrapText="1" readingOrder="2"/>
    </xf>
    <xf numFmtId="38" fontId="23" fillId="3" borderId="29" xfId="0" applyNumberFormat="1" applyFont="1" applyFill="1" applyBorder="1" applyAlignment="1">
      <alignment horizontal="center" vertical="center" wrapText="1" readingOrder="2"/>
    </xf>
    <xf numFmtId="38" fontId="23" fillId="3" borderId="31" xfId="0" applyNumberFormat="1" applyFont="1" applyFill="1" applyBorder="1" applyAlignment="1">
      <alignment horizontal="center" vertical="center" wrapText="1" readingOrder="2"/>
    </xf>
    <xf numFmtId="38" fontId="23" fillId="3" borderId="40" xfId="0" applyNumberFormat="1" applyFont="1" applyFill="1" applyBorder="1" applyAlignment="1">
      <alignment horizontal="center" vertical="center" wrapText="1" readingOrder="2"/>
    </xf>
    <xf numFmtId="38" fontId="4" fillId="3" borderId="32" xfId="0" applyNumberFormat="1" applyFont="1" applyFill="1" applyBorder="1" applyAlignment="1">
      <alignment horizontal="center" vertical="center" wrapText="1" readingOrder="2"/>
    </xf>
    <xf numFmtId="0" fontId="10" fillId="2" borderId="39" xfId="0" applyFont="1" applyFill="1" applyBorder="1" applyAlignment="1">
      <alignment horizontal="center" vertical="center" wrapText="1" readingOrder="2"/>
    </xf>
    <xf numFmtId="0" fontId="0" fillId="0" borderId="0" xfId="0" applyAlignment="1">
      <alignment wrapText="1"/>
    </xf>
    <xf numFmtId="38" fontId="32" fillId="3" borderId="39" xfId="5" applyNumberFormat="1" applyFill="1" applyBorder="1" applyAlignment="1">
      <alignment horizontal="center" vertical="center" readingOrder="2"/>
    </xf>
    <xf numFmtId="38" fontId="23" fillId="3" borderId="32" xfId="0" applyNumberFormat="1" applyFont="1" applyFill="1" applyBorder="1" applyAlignment="1">
      <alignment horizontal="center" vertical="center" wrapText="1" readingOrder="2"/>
    </xf>
    <xf numFmtId="0" fontId="6" fillId="0" borderId="32" xfId="0" applyFont="1" applyBorder="1" applyAlignment="1">
      <alignment horizontal="right" vertical="center" wrapText="1"/>
    </xf>
    <xf numFmtId="3" fontId="6" fillId="0" borderId="28" xfId="0" applyNumberFormat="1" applyFont="1" applyBorder="1" applyAlignment="1">
      <alignment horizontal="center" vertical="center" wrapText="1"/>
    </xf>
    <xf numFmtId="167" fontId="6" fillId="0" borderId="29" xfId="0" applyNumberFormat="1" applyFont="1" applyBorder="1" applyAlignment="1">
      <alignment horizontal="center"/>
    </xf>
    <xf numFmtId="0" fontId="6" fillId="0" borderId="1" xfId="0" applyFont="1" applyBorder="1" applyAlignment="1">
      <alignment horizontal="right" vertical="center" wrapText="1"/>
    </xf>
    <xf numFmtId="0" fontId="6" fillId="0" borderId="40" xfId="0" applyFont="1" applyBorder="1" applyAlignment="1">
      <alignment horizontal="right" vertical="center" wrapText="1"/>
    </xf>
    <xf numFmtId="0" fontId="6" fillId="3" borderId="49" xfId="0" applyFont="1" applyFill="1" applyBorder="1"/>
    <xf numFmtId="0" fontId="6" fillId="3" borderId="23" xfId="0" applyFont="1" applyFill="1" applyBorder="1"/>
    <xf numFmtId="0" fontId="0" fillId="0" borderId="0" xfId="0" applyAlignment="1">
      <alignment horizontal="right"/>
    </xf>
    <xf numFmtId="167" fontId="6" fillId="29" borderId="29" xfId="0" applyNumberFormat="1" applyFont="1" applyFill="1" applyBorder="1" applyAlignment="1">
      <alignment horizontal="center"/>
    </xf>
    <xf numFmtId="0" fontId="6" fillId="13" borderId="0" xfId="0" applyFont="1" applyFill="1"/>
    <xf numFmtId="3" fontId="6" fillId="0" borderId="32" xfId="0" applyNumberFormat="1" applyFont="1" applyBorder="1" applyAlignment="1">
      <alignment horizontal="center"/>
    </xf>
    <xf numFmtId="3" fontId="6" fillId="0" borderId="1" xfId="0" applyNumberFormat="1" applyFont="1" applyBorder="1" applyAlignment="1">
      <alignment horizontal="center"/>
    </xf>
    <xf numFmtId="3" fontId="44" fillId="0" borderId="0" xfId="0" applyNumberFormat="1" applyFont="1"/>
    <xf numFmtId="10" fontId="5" fillId="5" borderId="2" xfId="0" applyNumberFormat="1" applyFont="1" applyFill="1" applyBorder="1" applyAlignment="1">
      <alignment horizontal="center" readingOrder="2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39" fillId="0" borderId="3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17" fontId="14" fillId="7" borderId="7" xfId="0" applyNumberFormat="1" applyFont="1" applyFill="1" applyBorder="1" applyAlignment="1">
      <alignment horizontal="center"/>
    </xf>
    <xf numFmtId="0" fontId="18" fillId="8" borderId="26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0" fillId="0" borderId="6" xfId="0" applyFont="1" applyBorder="1" applyAlignment="1">
      <alignment horizontal="center" vertical="center" wrapText="1"/>
    </xf>
    <xf numFmtId="17" fontId="14" fillId="7" borderId="7" xfId="0" applyNumberFormat="1" applyFont="1" applyFill="1" applyBorder="1" applyAlignment="1">
      <alignment horizontal="center" wrapText="1"/>
    </xf>
    <xf numFmtId="0" fontId="6" fillId="3" borderId="1" xfId="0" applyFont="1" applyFill="1" applyBorder="1" applyAlignment="1">
      <alignment horizontal="center" vertical="center"/>
    </xf>
    <xf numFmtId="38" fontId="23" fillId="3" borderId="44" xfId="0" applyNumberFormat="1" applyFont="1" applyFill="1" applyBorder="1" applyAlignment="1">
      <alignment horizontal="center" vertical="center" wrapText="1" readingOrder="2"/>
    </xf>
    <xf numFmtId="38" fontId="23" fillId="3" borderId="45" xfId="0" applyNumberFormat="1" applyFont="1" applyFill="1" applyBorder="1" applyAlignment="1">
      <alignment horizontal="center" vertical="center" wrapText="1" readingOrder="2"/>
    </xf>
    <xf numFmtId="0" fontId="6" fillId="3" borderId="44" xfId="0" applyFont="1" applyFill="1" applyBorder="1" applyAlignment="1">
      <alignment vertical="center"/>
    </xf>
    <xf numFmtId="0" fontId="6" fillId="3" borderId="46" xfId="0" applyFont="1" applyFill="1" applyBorder="1" applyAlignment="1">
      <alignment vertical="center"/>
    </xf>
    <xf numFmtId="0" fontId="6" fillId="3" borderId="45" xfId="0" applyFont="1" applyFill="1" applyBorder="1" applyAlignment="1">
      <alignment vertical="center"/>
    </xf>
    <xf numFmtId="38" fontId="23" fillId="3" borderId="49" xfId="0" applyNumberFormat="1" applyFont="1" applyFill="1" applyBorder="1" applyAlignment="1">
      <alignment horizontal="center" vertical="center" wrapText="1" readingOrder="2"/>
    </xf>
    <xf numFmtId="38" fontId="23" fillId="3" borderId="50" xfId="0" applyNumberFormat="1" applyFont="1" applyFill="1" applyBorder="1" applyAlignment="1">
      <alignment horizontal="center" vertical="center" wrapText="1" readingOrder="2"/>
    </xf>
    <xf numFmtId="38" fontId="23" fillId="31" borderId="44" xfId="0" applyNumberFormat="1" applyFont="1" applyFill="1" applyBorder="1" applyAlignment="1">
      <alignment horizontal="center" vertical="center" readingOrder="2"/>
    </xf>
    <xf numFmtId="38" fontId="23" fillId="31" borderId="46" xfId="0" applyNumberFormat="1" applyFont="1" applyFill="1" applyBorder="1" applyAlignment="1">
      <alignment horizontal="center" vertical="center" readingOrder="2"/>
    </xf>
    <xf numFmtId="38" fontId="23" fillId="31" borderId="45" xfId="0" applyNumberFormat="1" applyFont="1" applyFill="1" applyBorder="1" applyAlignment="1">
      <alignment horizontal="center" vertical="center" readingOrder="2"/>
    </xf>
    <xf numFmtId="38" fontId="23" fillId="3" borderId="46" xfId="0" applyNumberFormat="1" applyFont="1" applyFill="1" applyBorder="1" applyAlignment="1">
      <alignment horizontal="center" vertical="center" wrapText="1" readingOrder="2"/>
    </xf>
    <xf numFmtId="38" fontId="23" fillId="3" borderId="44" xfId="0" applyNumberFormat="1" applyFont="1" applyFill="1" applyBorder="1" applyAlignment="1">
      <alignment horizontal="center" vertical="center" readingOrder="2"/>
    </xf>
    <xf numFmtId="38" fontId="23" fillId="3" borderId="46" xfId="0" applyNumberFormat="1" applyFont="1" applyFill="1" applyBorder="1" applyAlignment="1">
      <alignment horizontal="center" vertical="center" readingOrder="2"/>
    </xf>
    <xf numFmtId="38" fontId="23" fillId="3" borderId="45" xfId="0" applyNumberFormat="1" applyFont="1" applyFill="1" applyBorder="1" applyAlignment="1">
      <alignment horizontal="center" vertical="center" readingOrder="2"/>
    </xf>
    <xf numFmtId="38" fontId="23" fillId="3" borderId="23" xfId="0" applyNumberFormat="1" applyFont="1" applyFill="1" applyBorder="1" applyAlignment="1">
      <alignment horizontal="center" vertical="center" readingOrder="2"/>
    </xf>
    <xf numFmtId="38" fontId="23" fillId="3" borderId="32" xfId="0" applyNumberFormat="1" applyFont="1" applyFill="1" applyBorder="1" applyAlignment="1">
      <alignment horizontal="center" vertical="center" readingOrder="2"/>
    </xf>
    <xf numFmtId="38" fontId="23" fillId="3" borderId="52" xfId="0" applyNumberFormat="1" applyFont="1" applyFill="1" applyBorder="1" applyAlignment="1">
      <alignment horizontal="center" vertical="center" readingOrder="2"/>
    </xf>
    <xf numFmtId="38" fontId="23" fillId="3" borderId="30" xfId="0" applyNumberFormat="1" applyFont="1" applyFill="1" applyBorder="1" applyAlignment="1">
      <alignment horizontal="center" vertical="center" readingOrder="2"/>
    </xf>
    <xf numFmtId="38" fontId="23" fillId="3" borderId="57" xfId="0" applyNumberFormat="1" applyFont="1" applyFill="1" applyBorder="1" applyAlignment="1">
      <alignment horizontal="center" vertical="center" readingOrder="2"/>
    </xf>
    <xf numFmtId="38" fontId="23" fillId="3" borderId="40" xfId="0" applyNumberFormat="1" applyFont="1" applyFill="1" applyBorder="1" applyAlignment="1">
      <alignment horizontal="center" vertical="center" readingOrder="2"/>
    </xf>
    <xf numFmtId="38" fontId="23" fillId="3" borderId="30" xfId="0" applyNumberFormat="1" applyFont="1" applyFill="1" applyBorder="1" applyAlignment="1">
      <alignment horizontal="center" vertical="center" wrapText="1" readingOrder="2"/>
    </xf>
    <xf numFmtId="38" fontId="23" fillId="3" borderId="40" xfId="0" applyNumberFormat="1" applyFont="1" applyFill="1" applyBorder="1" applyAlignment="1">
      <alignment horizontal="center" vertical="center" wrapText="1" readingOrder="2"/>
    </xf>
    <xf numFmtId="38" fontId="23" fillId="3" borderId="6" xfId="0" applyNumberFormat="1" applyFont="1" applyFill="1" applyBorder="1" applyAlignment="1">
      <alignment horizontal="center" vertical="center" readingOrder="2"/>
    </xf>
    <xf numFmtId="0" fontId="10" fillId="2" borderId="28" xfId="0" applyFont="1" applyFill="1" applyBorder="1" applyAlignment="1">
      <alignment horizontal="center" vertical="center" readingOrder="2"/>
    </xf>
    <xf numFmtId="0" fontId="21" fillId="9" borderId="32" xfId="0" applyFont="1" applyFill="1" applyBorder="1" applyAlignment="1">
      <alignment horizontal="center" vertical="top" readingOrder="2"/>
    </xf>
    <xf numFmtId="0" fontId="22" fillId="9" borderId="32" xfId="0" applyFont="1" applyFill="1" applyBorder="1" applyAlignment="1">
      <alignment horizontal="right" shrinkToFit="1" readingOrder="2"/>
    </xf>
    <xf numFmtId="0" fontId="24" fillId="3" borderId="33" xfId="0" applyFont="1" applyFill="1" applyBorder="1" applyAlignment="1">
      <alignment horizontal="center" vertical="center" readingOrder="2"/>
    </xf>
    <xf numFmtId="0" fontId="24" fillId="3" borderId="28" xfId="0" applyFont="1" applyFill="1" applyBorder="1" applyAlignment="1">
      <alignment horizontal="center" vertical="center" readingOrder="2"/>
    </xf>
    <xf numFmtId="38" fontId="5" fillId="3" borderId="23" xfId="0" applyNumberFormat="1" applyFont="1" applyFill="1" applyBorder="1" applyAlignment="1">
      <alignment horizontal="center" vertical="center" readingOrder="2"/>
    </xf>
    <xf numFmtId="38" fontId="5" fillId="3" borderId="32" xfId="0" applyNumberFormat="1" applyFont="1" applyFill="1" applyBorder="1" applyAlignment="1">
      <alignment horizontal="center" vertical="center" readingOrder="2"/>
    </xf>
    <xf numFmtId="38" fontId="5" fillId="3" borderId="52" xfId="0" applyNumberFormat="1" applyFont="1" applyFill="1" applyBorder="1" applyAlignment="1">
      <alignment horizontal="center" vertical="center" readingOrder="2"/>
    </xf>
    <xf numFmtId="38" fontId="5" fillId="3" borderId="42" xfId="0" applyNumberFormat="1" applyFont="1" applyFill="1" applyBorder="1" applyAlignment="1">
      <alignment horizontal="center" vertical="center" readingOrder="2"/>
    </xf>
    <xf numFmtId="38" fontId="5" fillId="3" borderId="2" xfId="0" applyNumberFormat="1" applyFont="1" applyFill="1" applyBorder="1" applyAlignment="1">
      <alignment horizontal="center" vertical="center" readingOrder="2"/>
    </xf>
    <xf numFmtId="38" fontId="5" fillId="3" borderId="59" xfId="0" applyNumberFormat="1" applyFont="1" applyFill="1" applyBorder="1" applyAlignment="1">
      <alignment horizontal="center" vertical="center" readingOrder="2"/>
    </xf>
    <xf numFmtId="3" fontId="25" fillId="0" borderId="28" xfId="0" applyNumberFormat="1" applyFont="1" applyBorder="1" applyAlignment="1">
      <alignment horizontal="center" vertical="center" readingOrder="2"/>
    </xf>
    <xf numFmtId="38" fontId="5" fillId="3" borderId="30" xfId="0" applyNumberFormat="1" applyFont="1" applyFill="1" applyBorder="1" applyAlignment="1">
      <alignment horizontal="center" vertical="center" readingOrder="2"/>
    </xf>
    <xf numFmtId="38" fontId="5" fillId="3" borderId="40" xfId="0" applyNumberFormat="1" applyFont="1" applyFill="1" applyBorder="1" applyAlignment="1">
      <alignment horizontal="center" vertical="center" readingOrder="2"/>
    </xf>
    <xf numFmtId="0" fontId="6" fillId="3" borderId="30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 wrapText="1"/>
    </xf>
    <xf numFmtId="38" fontId="5" fillId="3" borderId="30" xfId="0" applyNumberFormat="1" applyFont="1" applyFill="1" applyBorder="1" applyAlignment="1">
      <alignment horizontal="center" vertical="center" wrapText="1" readingOrder="2"/>
    </xf>
    <xf numFmtId="38" fontId="5" fillId="3" borderId="40" xfId="0" applyNumberFormat="1" applyFont="1" applyFill="1" applyBorder="1" applyAlignment="1">
      <alignment horizontal="center" vertical="center" wrapText="1" readingOrder="2"/>
    </xf>
    <xf numFmtId="38" fontId="5" fillId="3" borderId="57" xfId="0" applyNumberFormat="1" applyFont="1" applyFill="1" applyBorder="1" applyAlignment="1">
      <alignment horizontal="center" vertical="center" wrapText="1" readingOrder="2"/>
    </xf>
    <xf numFmtId="0" fontId="0" fillId="0" borderId="0" xfId="0" applyAlignment="1"/>
    <xf numFmtId="0" fontId="8" fillId="0" borderId="32" xfId="0" applyFont="1" applyBorder="1" applyAlignment="1"/>
    <xf numFmtId="0" fontId="8" fillId="0" borderId="4" xfId="0" applyFont="1" applyBorder="1" applyAlignment="1"/>
    <xf numFmtId="0" fontId="8" fillId="0" borderId="8" xfId="0" applyFont="1" applyBorder="1" applyAlignment="1"/>
    <xf numFmtId="0" fontId="8" fillId="0" borderId="9" xfId="0" applyFont="1" applyBorder="1" applyAlignment="1"/>
    <xf numFmtId="0" fontId="8" fillId="0" borderId="25" xfId="0" applyFont="1" applyBorder="1" applyAlignment="1"/>
    <xf numFmtId="0" fontId="8" fillId="0" borderId="27" xfId="0" applyFont="1" applyBorder="1" applyAlignment="1"/>
    <xf numFmtId="0" fontId="8" fillId="0" borderId="33" xfId="0" applyFont="1" applyBorder="1" applyAlignment="1"/>
    <xf numFmtId="0" fontId="8" fillId="0" borderId="29" xfId="0" applyFont="1" applyBorder="1" applyAlignment="1"/>
  </cellXfs>
  <cellStyles count="7">
    <cellStyle name="40% - Accent1" xfId="6" builtinId="31"/>
    <cellStyle name="Hyperlink" xfId="5" builtinId="8"/>
    <cellStyle name="Normal" xfId="0" builtinId="0"/>
    <cellStyle name="Normal 2" xfId="1" xr:uid="{2BE701ED-AF9F-43D9-A068-CB78C2474D8B}"/>
    <cellStyle name="Normal 3" xfId="3" xr:uid="{2D66EC84-38EF-4BE5-AE60-985BF5A1AC5F}"/>
    <cellStyle name="Normal 4" xfId="4" xr:uid="{D31D1ECB-CC3C-441D-A93C-6DED58A7F324}"/>
    <cellStyle name="היפר-קישור שהופעל 2" xfId="2" xr:uid="{77461DB0-0C34-4D1E-B36F-8FC97968ADC0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3" formatCode="#,##0"/>
      <alignment horizontal="center" vertical="center" textRotation="0" wrapText="1" indent="0" justifyLastLine="0" shrinkToFit="0" readingOrder="0"/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התקדמות פרויקטים-style" pivot="0" count="3" xr9:uid="{00000000-0011-0000-FFFF-FFFF00000000}">
      <tableStyleElement type="headerRow" dxfId="13"/>
      <tableStyleElement type="firstRowStripe" dxfId="12"/>
      <tableStyleElement type="secondRowStripe" dxfId="11"/>
    </tableStyle>
    <tableStyle name="התקדמות פרויקטים-style 2" pivot="0" count="3" xr9:uid="{00000000-0011-0000-FFFF-FFFF01000000}">
      <tableStyleElement type="headerRow" dxfId="10"/>
      <tableStyleElement type="firstRowStripe" dxfId="9"/>
      <tableStyleElement type="second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76:O82">
  <tableColumns count="14">
    <tableColumn id="1" xr3:uid="{00000000-0010-0000-0000-000001000000}" name="ינואר"/>
    <tableColumn id="2" xr3:uid="{00000000-0010-0000-0000-000002000000}" name="פברואר"/>
    <tableColumn id="3" xr3:uid="{00000000-0010-0000-0000-000003000000}" name="מרץ"/>
    <tableColumn id="4" xr3:uid="{00000000-0010-0000-0000-000004000000}" name="אפריל"/>
    <tableColumn id="5" xr3:uid="{00000000-0010-0000-0000-000005000000}" name="מאי"/>
    <tableColumn id="6" xr3:uid="{00000000-0010-0000-0000-000006000000}" name="יוני"/>
    <tableColumn id="7" xr3:uid="{00000000-0010-0000-0000-000007000000}" name="יולי"/>
    <tableColumn id="8" xr3:uid="{00000000-0010-0000-0000-000008000000}" name="אוגוסט"/>
    <tableColumn id="9" xr3:uid="{00000000-0010-0000-0000-000009000000}" name="ספטמבר"/>
    <tableColumn id="10" xr3:uid="{00000000-0010-0000-0000-00000A000000}" name="אוקטובר"/>
    <tableColumn id="14" xr3:uid="{25AF66BF-5B3F-4DF3-A44C-2DDFEB6D7186}" name="נובמבר" dataDxfId="1"/>
    <tableColumn id="11" xr3:uid="{00000000-0010-0000-0000-00000B000000}" name="דצמבר"/>
    <tableColumn id="12" xr3:uid="{00000000-0010-0000-0000-00000C000000}" name="שנתי"/>
    <tableColumn id="13" xr3:uid="{00000000-0010-0000-0000-00000D000000}" name="0" dataDxfId="0"/>
  </tableColumns>
  <tableStyleInfo name="התקדמות פרויקטים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04:H108">
  <tableColumns count="8">
    <tableColumn id="1" xr3:uid="{00000000-0010-0000-0100-000001000000}" name="מנהל פרויקט"/>
    <tableColumn id="2" xr3:uid="{00000000-0010-0000-0100-000002000000}" name="אבטחה תוכנה"/>
    <tableColumn id="3" xr3:uid="{00000000-0010-0000-0100-000003000000}" name="תוכנה בקרת מבנה"/>
    <tableColumn id="4" xr3:uid="{00000000-0010-0000-0100-000004000000}" name="בקרת מבנה"/>
    <tableColumn id="5" xr3:uid="{00000000-0010-0000-0100-000005000000}" name="אבטחה"/>
    <tableColumn id="6" xr3:uid="{00000000-0010-0000-0100-000006000000}" name="אבטחה תוכנה - אל קונטרול"/>
    <tableColumn id="7" xr3:uid="{00000000-0010-0000-0100-000007000000}" name="שירות"/>
    <tableColumn id="8" xr3:uid="{00000000-0010-0000-0100-000008000000}" name="כללי"/>
  </tableColumns>
  <tableStyleInfo name="התקדמות פרויקטים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C7536D-801E-47D0-B608-06EE67F94A9D}">
  <we:reference id="wa200005502" version="1.0.0.11" store="he-IL" storeType="OMEX"/>
  <we:alternateReferences>
    <we:reference id="WA200005502" version="1.0.0.11" store="" storeType="OMEX"/>
  </we:alternateReferences>
  <we:properties>
    <we:property name="docId" value="&quot;78Kh6Zu_3jbgtVVJ2SvDK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salem@aidcann.com" TargetMode="External"/><Relationship Id="rId3" Type="http://schemas.openxmlformats.org/officeDocument/2006/relationships/hyperlink" Target="mailto:EliBr@electra.co.il" TargetMode="External"/><Relationship Id="rId7" Type="http://schemas.openxmlformats.org/officeDocument/2006/relationships/hyperlink" Target="mailto:kobi@betihut.com" TargetMode="External"/><Relationship Id="rId2" Type="http://schemas.openxmlformats.org/officeDocument/2006/relationships/hyperlink" Target="mailto:soly.bakal@g1-group.com" TargetMode="External"/><Relationship Id="rId1" Type="http://schemas.openxmlformats.org/officeDocument/2006/relationships/hyperlink" Target="mailto:ori@aorp.co.il" TargetMode="External"/><Relationship Id="rId6" Type="http://schemas.openxmlformats.org/officeDocument/2006/relationships/hyperlink" Target="mailto:alexf@a-danan.co.il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mailto:OmerN@afcon.co.il" TargetMode="External"/><Relationship Id="rId10" Type="http://schemas.openxmlformats.org/officeDocument/2006/relationships/hyperlink" Target="mailto:yoni@migun102.com" TargetMode="External"/><Relationship Id="rId4" Type="http://schemas.openxmlformats.org/officeDocument/2006/relationships/hyperlink" Target="mailto:roeia@shamrad.co.il" TargetMode="External"/><Relationship Id="rId9" Type="http://schemas.openxmlformats.org/officeDocument/2006/relationships/hyperlink" Target="mailto:yaniv@mfcs.co.il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benny.doner@adama.com" TargetMode="External"/><Relationship Id="rId13" Type="http://schemas.openxmlformats.org/officeDocument/2006/relationships/hyperlink" Target="mailto:moshe.a@intergreen.co.il" TargetMode="External"/><Relationship Id="rId18" Type="http://schemas.openxmlformats.org/officeDocument/2006/relationships/hyperlink" Target="mailto:arkadyl@electra.co.il" TargetMode="External"/><Relationship Id="rId3" Type="http://schemas.openxmlformats.org/officeDocument/2006/relationships/hyperlink" Target="mailto:zvia.maimon@plantae.net" TargetMode="External"/><Relationship Id="rId21" Type="http://schemas.openxmlformats.org/officeDocument/2006/relationships/printerSettings" Target="../printerSettings/printerSettings3.bin"/><Relationship Id="rId7" Type="http://schemas.openxmlformats.org/officeDocument/2006/relationships/hyperlink" Target="mailto:elimelechrefatot@gmail.com" TargetMode="External"/><Relationship Id="rId12" Type="http://schemas.openxmlformats.org/officeDocument/2006/relationships/hyperlink" Target="mailto:ruti.hanun@brinksinc.com" TargetMode="External"/><Relationship Id="rId17" Type="http://schemas.openxmlformats.org/officeDocument/2006/relationships/hyperlink" Target="mailto:Eiko.Shachar@orian.com" TargetMode="External"/><Relationship Id="rId2" Type="http://schemas.openxmlformats.org/officeDocument/2006/relationships/hyperlink" Target="mailto:tomer@neopharmgroup.com" TargetMode="External"/><Relationship Id="rId16" Type="http://schemas.openxmlformats.org/officeDocument/2006/relationships/hyperlink" Target="mailto:nisim.c@team3.co.il" TargetMode="External"/><Relationship Id="rId20" Type="http://schemas.openxmlformats.org/officeDocument/2006/relationships/hyperlink" Target="mailto:alexki@bgu.ac.il" TargetMode="External"/><Relationship Id="rId1" Type="http://schemas.openxmlformats.org/officeDocument/2006/relationships/hyperlink" Target="mailto:dudiezra3@gmail.com" TargetMode="External"/><Relationship Id="rId6" Type="http://schemas.openxmlformats.org/officeDocument/2006/relationships/hyperlink" Target="mailto:yakir.office2@gmail.com" TargetMode="External"/><Relationship Id="rId11" Type="http://schemas.openxmlformats.org/officeDocument/2006/relationships/hyperlink" Target="mailto:Marina.Lipkin@tevelmetro.co.il%20,%20AyeletSc@tevelmetro.co.il" TargetMode="External"/><Relationship Id="rId5" Type="http://schemas.openxmlformats.org/officeDocument/2006/relationships/hyperlink" Target="mailto:tamar@opg.co.il" TargetMode="External"/><Relationship Id="rId15" Type="http://schemas.openxmlformats.org/officeDocument/2006/relationships/hyperlink" Target="mailto:ran.haviv@motorolasolutions.com" TargetMode="External"/><Relationship Id="rId23" Type="http://schemas.openxmlformats.org/officeDocument/2006/relationships/comments" Target="../comments2.xml"/><Relationship Id="rId10" Type="http://schemas.openxmlformats.org/officeDocument/2006/relationships/hyperlink" Target="mailto:udi@cqm-tech.com%20,%20ravit@cqm-tech.com" TargetMode="External"/><Relationship Id="rId19" Type="http://schemas.openxmlformats.org/officeDocument/2006/relationships/hyperlink" Target="mailto:mnt.hatnufa@gmail.com" TargetMode="External"/><Relationship Id="rId4" Type="http://schemas.openxmlformats.org/officeDocument/2006/relationships/hyperlink" Target="mailto:yanivcohen@issta.co.il" TargetMode="External"/><Relationship Id="rId9" Type="http://schemas.openxmlformats.org/officeDocument/2006/relationships/hyperlink" Target="mailto:rafael.elbaz@ashdod-bonded.co.il" TargetMode="External"/><Relationship Id="rId14" Type="http://schemas.openxmlformats.org/officeDocument/2006/relationships/hyperlink" Target="mailto:Roy.z@team3.co.il" TargetMode="External"/><Relationship Id="rId2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N59"/>
  <sheetViews>
    <sheetView topLeftCell="A29" zoomScaleNormal="100" workbookViewId="0">
      <selection activeCell="I29" sqref="I29"/>
    </sheetView>
  </sheetViews>
  <sheetFormatPr defaultColWidth="12.5703125" defaultRowHeight="15" customHeight="1"/>
  <cols>
    <col min="1" max="1" width="33.42578125" customWidth="1"/>
    <col min="2" max="4" width="15.42578125" customWidth="1"/>
    <col min="5" max="5" width="16.42578125" customWidth="1"/>
    <col min="6" max="6" width="15.42578125" customWidth="1"/>
    <col min="7" max="7" width="19.5703125" customWidth="1"/>
    <col min="8" max="8" width="12.42578125" customWidth="1"/>
    <col min="9" max="9" width="15.5703125" customWidth="1"/>
    <col min="10" max="10" width="14.42578125" customWidth="1"/>
    <col min="11" max="11" width="16.42578125" customWidth="1"/>
    <col min="12" max="12" width="14" customWidth="1"/>
    <col min="13" max="13" width="13.42578125" customWidth="1"/>
    <col min="14" max="14" width="11.5703125" customWidth="1"/>
    <col min="15" max="26" width="26.42578125" customWidth="1"/>
  </cols>
  <sheetData>
    <row r="1" spans="1:14" ht="24.75" customHeight="1">
      <c r="E1" s="468" t="s">
        <v>0</v>
      </c>
      <c r="F1" s="523"/>
      <c r="G1" s="523"/>
      <c r="H1" s="523"/>
      <c r="I1" s="523"/>
    </row>
    <row r="2" spans="1:14" ht="12.75" customHeight="1"/>
    <row r="3" spans="1:14" ht="12.75" customHeight="1">
      <c r="A3" s="1"/>
      <c r="B3" s="2">
        <v>2025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</row>
    <row r="4" spans="1:14" ht="12.75" customHeight="1">
      <c r="A4" s="3" t="s">
        <v>13</v>
      </c>
      <c r="B4" s="110">
        <f>SUM(C4:N4)</f>
        <v>12550004</v>
      </c>
      <c r="C4" s="4">
        <v>626833</v>
      </c>
      <c r="D4" s="4">
        <v>506833</v>
      </c>
      <c r="E4" s="4">
        <v>706833</v>
      </c>
      <c r="F4" s="4">
        <v>1189945</v>
      </c>
      <c r="G4" s="4">
        <v>1189945</v>
      </c>
      <c r="H4" s="4">
        <v>1189945</v>
      </c>
      <c r="I4" s="4">
        <v>1189945</v>
      </c>
      <c r="J4" s="4">
        <v>1189945</v>
      </c>
      <c r="K4" s="4">
        <v>1189945</v>
      </c>
      <c r="L4" s="4">
        <v>1189945</v>
      </c>
      <c r="M4" s="4">
        <v>1189945</v>
      </c>
      <c r="N4" s="4">
        <v>1189945</v>
      </c>
    </row>
    <row r="5" spans="1:14" ht="12.75" customHeight="1">
      <c r="A5" s="3" t="s">
        <v>14</v>
      </c>
      <c r="B5" s="110">
        <f>SUM(C5:N5)</f>
        <v>14474000</v>
      </c>
      <c r="C5" s="4">
        <v>710167</v>
      </c>
      <c r="D5" s="4">
        <v>590167</v>
      </c>
      <c r="E5" s="4">
        <v>850167</v>
      </c>
      <c r="F5" s="4">
        <v>1352611</v>
      </c>
      <c r="G5" s="4">
        <v>1352611</v>
      </c>
      <c r="H5" s="4">
        <v>1402611</v>
      </c>
      <c r="I5" s="4">
        <v>1352611</v>
      </c>
      <c r="J5" s="4">
        <v>1352611</v>
      </c>
      <c r="K5" s="4">
        <v>1402611</v>
      </c>
      <c r="L5" s="4">
        <v>1352611</v>
      </c>
      <c r="M5" s="4">
        <v>1352611</v>
      </c>
      <c r="N5" s="4">
        <v>1402611</v>
      </c>
    </row>
    <row r="6" spans="1:14" ht="12.75" customHeight="1"/>
    <row r="7" spans="1:14" ht="12.75" customHeight="1">
      <c r="A7" s="3" t="s">
        <v>15</v>
      </c>
      <c r="B7" s="110">
        <f>SUM(C7:N7)</f>
        <v>18509552.920000002</v>
      </c>
      <c r="C7" s="4">
        <f>'התקדמות פרויקטים'!$B$89</f>
        <v>867760.46</v>
      </c>
      <c r="D7" s="4">
        <f>'התקדמות פרויקטים'!$C$89</f>
        <v>1730346</v>
      </c>
      <c r="E7" s="4">
        <f>'התקדמות פרויקטים'!$D$89</f>
        <v>1207521</v>
      </c>
      <c r="F7" s="4">
        <f>'התקדמות פרויקטים'!$E$89</f>
        <v>124112</v>
      </c>
      <c r="G7" s="4">
        <f>'התקדמות פרויקטים'!$F$89</f>
        <v>601503</v>
      </c>
      <c r="H7" s="4">
        <f>'התקדמות פרויקטים'!$G$89</f>
        <v>3653150</v>
      </c>
      <c r="I7" s="4">
        <f>'התקדמות פרויקטים'!$H$89</f>
        <v>444384</v>
      </c>
      <c r="J7" s="4">
        <f>'התקדמות פרויקטים'!$I$89</f>
        <v>351000</v>
      </c>
      <c r="K7" s="4">
        <f>'התקדמות פרויקטים'!$J$89</f>
        <v>100000</v>
      </c>
      <c r="L7" s="4">
        <f>'התקדמות פרויקטים'!$K$89</f>
        <v>80000</v>
      </c>
      <c r="M7" s="4">
        <f>'התקדמות פרויקטים'!$M$89</f>
        <v>95000</v>
      </c>
      <c r="N7" s="4">
        <f>'התקדמות פרויקטים'!$N$89</f>
        <v>9254776.4600000009</v>
      </c>
    </row>
    <row r="8" spans="1:14" ht="12.75" customHeight="1">
      <c r="A8" s="3" t="s">
        <v>16</v>
      </c>
      <c r="B8" s="110">
        <f>SUM(C8:N8)</f>
        <v>2920091.46</v>
      </c>
      <c r="C8" s="4">
        <f>$C$45</f>
        <v>925519.65</v>
      </c>
      <c r="D8" s="4">
        <f>$D$45</f>
        <v>927120.81</v>
      </c>
      <c r="E8" s="4">
        <f>$E$45</f>
        <v>1035451</v>
      </c>
      <c r="F8" s="4">
        <f>$F$35</f>
        <v>0</v>
      </c>
      <c r="G8" s="4">
        <f>$G$35</f>
        <v>0</v>
      </c>
      <c r="H8" s="4">
        <f>$H$35</f>
        <v>0</v>
      </c>
      <c r="I8" s="4">
        <f>$I$35</f>
        <v>0</v>
      </c>
      <c r="J8" s="4">
        <f>$J$35</f>
        <v>0</v>
      </c>
      <c r="K8" s="4">
        <f>$K$35</f>
        <v>0</v>
      </c>
      <c r="L8" s="4">
        <f>$K$35</f>
        <v>0</v>
      </c>
      <c r="M8" s="4">
        <f>$M$35</f>
        <v>0</v>
      </c>
      <c r="N8" s="4">
        <f>$N$35</f>
        <v>32000</v>
      </c>
    </row>
    <row r="9" spans="1:14" ht="12.75" customHeight="1"/>
    <row r="10" spans="1:14" ht="12.75" customHeight="1">
      <c r="A10" s="3" t="s">
        <v>17</v>
      </c>
      <c r="B10" s="110">
        <f>SUM(C10:N10)</f>
        <v>9778192</v>
      </c>
      <c r="C10" s="4">
        <f>'התקדמות פרויקטים'!$B$90</f>
        <v>391998</v>
      </c>
      <c r="D10" s="4">
        <f>'התקדמות פרויקטים'!$C$90</f>
        <v>927000</v>
      </c>
      <c r="E10" s="4">
        <f>'התקדמות פרויקטים'!$D$90</f>
        <v>745452</v>
      </c>
      <c r="F10" s="4">
        <f>'התקדמות פרויקטים'!$E$90</f>
        <v>20000</v>
      </c>
      <c r="G10" s="4">
        <f>'התקדמות פרויקטים'!$F$90</f>
        <v>33046</v>
      </c>
      <c r="H10" s="4">
        <f>'התקדמות פרויקטים'!$G$90</f>
        <v>2575600</v>
      </c>
      <c r="I10" s="4">
        <f>'התקדמות פרויקטים'!$H$90</f>
        <v>0</v>
      </c>
      <c r="J10" s="4">
        <f>'התקדמות פרויקטים'!$I$90</f>
        <v>101000</v>
      </c>
      <c r="K10" s="4">
        <f>'התקדמות פרויקטים'!$J$90</f>
        <v>0</v>
      </c>
      <c r="L10" s="4">
        <f>'התקדמות פרויקטים'!$K$90</f>
        <v>0</v>
      </c>
      <c r="M10" s="4">
        <f>'התקדמות פרויקטים'!$M$90</f>
        <v>95000</v>
      </c>
      <c r="N10" s="4">
        <f>'התקדמות פרויקטים'!$N$90</f>
        <v>4889096</v>
      </c>
    </row>
    <row r="11" spans="1:14" ht="12.75" customHeight="1">
      <c r="A11" s="3" t="s">
        <v>18</v>
      </c>
      <c r="B11" s="110">
        <f>SUM(C11:N11)</f>
        <v>8921360.9199999999</v>
      </c>
      <c r="C11" s="4">
        <f>'התקדמות פרויקטים'!$B$91</f>
        <v>475762.46</v>
      </c>
      <c r="D11" s="4">
        <f>'התקדמות פרויקטים'!$C$91</f>
        <v>803346</v>
      </c>
      <c r="E11" s="4">
        <f>'התקדמות פרויקטים'!$D$91</f>
        <v>462069</v>
      </c>
      <c r="F11" s="4">
        <f>'התקדמות פרויקטים'!$E$91</f>
        <v>104112</v>
      </c>
      <c r="G11" s="4">
        <f>'התקדמות פרויקטים'!$F$91</f>
        <v>568457</v>
      </c>
      <c r="H11" s="4">
        <f>'התקדמות פרויקטים'!$G$91</f>
        <v>1077550</v>
      </c>
      <c r="I11" s="4">
        <f>'התקדמות פרויקטים'!$H$91</f>
        <v>444384</v>
      </c>
      <c r="J11" s="4">
        <f>'התקדמות פרויקטים'!$I$91</f>
        <v>250000</v>
      </c>
      <c r="K11" s="4">
        <f>'התקדמות פרויקטים'!$J$91</f>
        <v>100000</v>
      </c>
      <c r="L11" s="4">
        <f>'התקדמות פרויקטים'!$K$91</f>
        <v>80000</v>
      </c>
      <c r="M11" s="4">
        <f>'התקדמות פרויקטים'!$M$91</f>
        <v>95000</v>
      </c>
      <c r="N11" s="4">
        <f>'התקדמות פרויקטים'!$N$91</f>
        <v>4460680.46</v>
      </c>
    </row>
    <row r="12" spans="1:14" ht="12.75" customHeight="1"/>
    <row r="13" spans="1:14" ht="12.75" customHeight="1">
      <c r="A13" s="3" t="s">
        <v>19</v>
      </c>
      <c r="B13" s="110">
        <f>SUM(C13:N13)</f>
        <v>1672452</v>
      </c>
      <c r="C13" s="4">
        <f>'התקדמות פרויקטים'!$B$100</f>
        <v>387000</v>
      </c>
      <c r="D13" s="4">
        <f>'התקדמות פרויקטים'!$C$100</f>
        <v>540000</v>
      </c>
      <c r="E13" s="4">
        <f>'התקדמות פרויקטים'!$D$100</f>
        <v>745452</v>
      </c>
      <c r="F13" s="4">
        <f>'התקדמות פרויקטים'!$E$100</f>
        <v>0</v>
      </c>
      <c r="G13" s="4">
        <f>'התקדמות פרויקטים'!$F$100</f>
        <v>0</v>
      </c>
      <c r="H13" s="4">
        <f>'התקדמות פרויקטים'!$G$100</f>
        <v>0</v>
      </c>
      <c r="I13" s="4">
        <f>'התקדמות פרויקטים'!$H$100</f>
        <v>0</v>
      </c>
      <c r="J13" s="4">
        <f>'התקדמות פרויקטים'!$I$100</f>
        <v>0</v>
      </c>
      <c r="K13" s="4">
        <f>'התקדמות פרויקטים'!$J$100</f>
        <v>0</v>
      </c>
      <c r="L13" s="4">
        <f>'התקדמות פרויקטים'!$K$100</f>
        <v>0</v>
      </c>
      <c r="M13" s="4">
        <f>'התקדמות פרויקטים'!$L$100</f>
        <v>0</v>
      </c>
      <c r="N13" s="4">
        <f>'התקדמות פרויקטים'!$M$100</f>
        <v>0</v>
      </c>
    </row>
    <row r="14" spans="1:14" ht="12.75" customHeight="1">
      <c r="A14" s="3" t="s">
        <v>20</v>
      </c>
      <c r="B14" s="110">
        <f>SUM(C14:N14)</f>
        <v>780046.46</v>
      </c>
      <c r="C14" s="4">
        <f>'התקדמות פרויקטים'!$B$101</f>
        <v>395659.65</v>
      </c>
      <c r="D14" s="4">
        <f>'התקדמות פרויקטים'!$C$101</f>
        <v>213356.81</v>
      </c>
      <c r="E14" s="4">
        <f>'התקדמות פרויקטים'!$D$101</f>
        <v>171030</v>
      </c>
      <c r="F14" s="4">
        <f>'התקדמות פרויקטים'!$E$101</f>
        <v>0</v>
      </c>
      <c r="G14" s="4">
        <f>'התקדמות פרויקטים'!$F$101</f>
        <v>0</v>
      </c>
      <c r="H14" s="4">
        <f>'התקדמות פרויקטים'!$G$101</f>
        <v>0</v>
      </c>
      <c r="I14" s="4">
        <f>'התקדמות פרויקטים'!$H$101</f>
        <v>0</v>
      </c>
      <c r="J14" s="4">
        <f>'התקדמות פרויקטים'!$I$101</f>
        <v>0</v>
      </c>
      <c r="K14" s="4">
        <f>'התקדמות פרויקטים'!$J$101</f>
        <v>0</v>
      </c>
      <c r="L14" s="4">
        <f>'התקדמות פרויקטים'!$K$101</f>
        <v>0</v>
      </c>
      <c r="M14" s="4">
        <f>'התקדמות פרויקטים'!$L$101</f>
        <v>0</v>
      </c>
      <c r="N14" s="4">
        <f>'התקדמות פרויקטים'!$M$101</f>
        <v>0</v>
      </c>
    </row>
    <row r="15" spans="1:14" ht="12.75" customHeight="1"/>
    <row r="16" spans="1:14" ht="26.25" customHeight="1">
      <c r="E16" s="468" t="s">
        <v>21</v>
      </c>
      <c r="F16" s="523"/>
      <c r="G16" s="523"/>
      <c r="H16" s="523"/>
      <c r="I16" s="523"/>
    </row>
    <row r="18" spans="1:9" ht="12.75" customHeight="1">
      <c r="A18" s="1"/>
      <c r="B18" s="2">
        <v>2025</v>
      </c>
      <c r="C18" s="1" t="s">
        <v>22</v>
      </c>
      <c r="D18" s="1" t="s">
        <v>23</v>
      </c>
      <c r="E18" s="1" t="s">
        <v>24</v>
      </c>
      <c r="F18" s="1" t="s">
        <v>25</v>
      </c>
    </row>
    <row r="19" spans="1:9" ht="12.75" customHeight="1">
      <c r="A19" s="3" t="s">
        <v>26</v>
      </c>
      <c r="B19" s="110">
        <f>SUM(C19:N19)</f>
        <v>12550004</v>
      </c>
      <c r="C19" s="4">
        <f>SUM(C4:E4)</f>
        <v>1840499</v>
      </c>
      <c r="D19" s="4">
        <f>SUM(F4:H4)</f>
        <v>3569835</v>
      </c>
      <c r="E19" s="4">
        <f>SUM(I4:K4)</f>
        <v>3569835</v>
      </c>
      <c r="F19" s="4">
        <f>SUM(L4:N4)</f>
        <v>3569835</v>
      </c>
    </row>
    <row r="20" spans="1:9" ht="12.75" customHeight="1">
      <c r="A20" s="3" t="s">
        <v>27</v>
      </c>
      <c r="B20" s="110">
        <f>SUM(C20:N20)</f>
        <v>14474000</v>
      </c>
      <c r="C20" s="4">
        <f>SUM(C5:E5)</f>
        <v>2150501</v>
      </c>
      <c r="D20" s="4">
        <f>SUM(F5:H5)</f>
        <v>4107833</v>
      </c>
      <c r="E20" s="4">
        <f>SUM(I5:K5)</f>
        <v>4107833</v>
      </c>
      <c r="F20" s="4">
        <f>SUM(L5:N5)</f>
        <v>4107833</v>
      </c>
    </row>
    <row r="21" spans="1:9" ht="12.75" customHeight="1"/>
    <row r="22" spans="1:9" ht="12.75" customHeight="1">
      <c r="A22" s="3" t="s">
        <v>28</v>
      </c>
      <c r="B22" s="110">
        <f>SUM(C22:N22)</f>
        <v>18509552.920000002</v>
      </c>
      <c r="C22" s="4">
        <f>SUM(C7:E7)</f>
        <v>3805627.46</v>
      </c>
      <c r="D22" s="4">
        <f>SUM(F7:H7)</f>
        <v>4378765</v>
      </c>
      <c r="E22" s="4">
        <f>SUM(I7:K7)</f>
        <v>895384</v>
      </c>
      <c r="F22" s="4">
        <f t="shared" ref="F22:F26" si="0">SUM(L7:N7)</f>
        <v>9429776.4600000009</v>
      </c>
    </row>
    <row r="23" spans="1:9" ht="12.75" customHeight="1">
      <c r="A23" s="3" t="s">
        <v>29</v>
      </c>
      <c r="B23" s="110">
        <f>SUM(C23:N23)</f>
        <v>2920091.46</v>
      </c>
      <c r="C23" s="4">
        <f>SUM(C8:E8)</f>
        <v>2888091.46</v>
      </c>
      <c r="D23" s="4">
        <f>SUM(F8:H8)</f>
        <v>0</v>
      </c>
      <c r="E23" s="4">
        <f>SUM(I8:K8)</f>
        <v>0</v>
      </c>
      <c r="F23" s="4">
        <f t="shared" si="0"/>
        <v>32000</v>
      </c>
    </row>
    <row r="24" spans="1:9" ht="12.75" customHeight="1"/>
    <row r="25" spans="1:9" ht="12.75" customHeight="1">
      <c r="A25" s="3" t="s">
        <v>30</v>
      </c>
      <c r="B25" s="110">
        <f>SUM(C25:N25)</f>
        <v>9778192</v>
      </c>
      <c r="C25" s="4">
        <f>SUM(C10:E10)</f>
        <v>2064450</v>
      </c>
      <c r="D25" s="4">
        <f>SUM(F10:H10)</f>
        <v>2628646</v>
      </c>
      <c r="E25" s="4">
        <f>SUM(I10:K10)</f>
        <v>101000</v>
      </c>
      <c r="F25" s="4">
        <f t="shared" si="0"/>
        <v>4984096</v>
      </c>
    </row>
    <row r="26" spans="1:9" ht="12.75" customHeight="1">
      <c r="A26" s="3" t="s">
        <v>31</v>
      </c>
      <c r="B26" s="110">
        <f>SUM(C26:N26)</f>
        <v>8921360.9199999999</v>
      </c>
      <c r="C26" s="4">
        <f>SUM(C11:E11)</f>
        <v>1741177.46</v>
      </c>
      <c r="D26" s="4">
        <f>SUM(F11:H11)</f>
        <v>1750119</v>
      </c>
      <c r="E26" s="4">
        <f>SUM(I11:K11)</f>
        <v>794384</v>
      </c>
      <c r="F26" s="4">
        <f t="shared" si="0"/>
        <v>4635680.46</v>
      </c>
    </row>
    <row r="27" spans="1:9" ht="12.75" customHeight="1"/>
    <row r="28" spans="1:9" ht="12.75" customHeight="1">
      <c r="A28" s="3" t="s">
        <v>32</v>
      </c>
      <c r="B28" s="110">
        <f>SUM(C28:N28)</f>
        <v>1672452</v>
      </c>
      <c r="C28" s="4">
        <f>SUM(C13:E13)</f>
        <v>1672452</v>
      </c>
      <c r="D28" s="4">
        <f>SUM(F13:H13)</f>
        <v>0</v>
      </c>
      <c r="E28" s="4">
        <f>SUM(I13:K13)</f>
        <v>0</v>
      </c>
      <c r="F28" s="4">
        <f>SUM(L13:N13)</f>
        <v>0</v>
      </c>
    </row>
    <row r="29" spans="1:9" ht="12.75" customHeight="1">
      <c r="A29" s="3" t="s">
        <v>33</v>
      </c>
      <c r="B29" s="110">
        <f>SUM(C29:N29)</f>
        <v>780046.46</v>
      </c>
      <c r="C29" s="4">
        <f>SUM(C14:E14)</f>
        <v>780046.46</v>
      </c>
      <c r="D29" s="4">
        <f>SUM(F14:H14)</f>
        <v>0</v>
      </c>
      <c r="E29" s="4">
        <f>SUM(I14:K14)</f>
        <v>0</v>
      </c>
      <c r="F29" s="4">
        <f>SUM(L14:N14)</f>
        <v>0</v>
      </c>
    </row>
    <row r="30" spans="1:9" ht="12.75" customHeight="1"/>
    <row r="31" spans="1:9" ht="12.75" customHeight="1"/>
    <row r="32" spans="1:9" ht="18.75" customHeight="1">
      <c r="E32" s="469" t="s">
        <v>34</v>
      </c>
      <c r="F32" s="523"/>
      <c r="G32" s="523"/>
      <c r="H32" s="523"/>
      <c r="I32" s="523"/>
    </row>
    <row r="34" spans="1:14" ht="12.75" customHeight="1">
      <c r="A34" s="1"/>
      <c r="B34" s="2">
        <v>2024</v>
      </c>
      <c r="C34" s="1" t="s">
        <v>1</v>
      </c>
      <c r="D34" s="1" t="s">
        <v>2</v>
      </c>
      <c r="E34" s="1" t="s">
        <v>3</v>
      </c>
      <c r="F34" s="1" t="s">
        <v>4</v>
      </c>
      <c r="G34" s="1" t="s">
        <v>5</v>
      </c>
      <c r="H34" s="1" t="s">
        <v>6</v>
      </c>
      <c r="I34" s="1" t="s">
        <v>7</v>
      </c>
      <c r="J34" s="1" t="s">
        <v>8</v>
      </c>
      <c r="K34" s="1" t="s">
        <v>9</v>
      </c>
      <c r="L34" s="1" t="s">
        <v>10</v>
      </c>
      <c r="M34" s="1" t="s">
        <v>11</v>
      </c>
      <c r="N34" s="1" t="s">
        <v>12</v>
      </c>
    </row>
    <row r="35" spans="1:14" ht="12.75" customHeight="1">
      <c r="A35" s="3" t="s">
        <v>35</v>
      </c>
      <c r="B35" s="110">
        <f t="shared" ref="B35:B42" si="1" xml:space="preserve"> SUM(C35:N35)</f>
        <v>2920091.46</v>
      </c>
      <c r="C35" s="110">
        <f t="shared" ref="C35:N35" si="2">SUM(C36:C43)</f>
        <v>925519.65</v>
      </c>
      <c r="D35" s="110">
        <f t="shared" si="2"/>
        <v>927120.81</v>
      </c>
      <c r="E35" s="110">
        <f t="shared" si="2"/>
        <v>1035451</v>
      </c>
      <c r="F35" s="110">
        <f t="shared" si="2"/>
        <v>0</v>
      </c>
      <c r="G35" s="110">
        <f t="shared" si="2"/>
        <v>0</v>
      </c>
      <c r="H35" s="110">
        <f t="shared" si="2"/>
        <v>0</v>
      </c>
      <c r="I35" s="110">
        <f t="shared" si="2"/>
        <v>0</v>
      </c>
      <c r="J35" s="110">
        <f t="shared" si="2"/>
        <v>0</v>
      </c>
      <c r="K35" s="110">
        <f t="shared" si="2"/>
        <v>0</v>
      </c>
      <c r="L35" s="110">
        <f t="shared" si="2"/>
        <v>0</v>
      </c>
      <c r="M35" s="110">
        <f t="shared" si="2"/>
        <v>0</v>
      </c>
      <c r="N35" s="110">
        <f t="shared" si="2"/>
        <v>32000</v>
      </c>
    </row>
    <row r="36" spans="1:14" ht="12.75" customHeight="1">
      <c r="A36" s="3" t="s">
        <v>36</v>
      </c>
      <c r="B36" s="110">
        <f t="shared" si="1"/>
        <v>0</v>
      </c>
      <c r="C36" s="4">
        <f>SUMIF('התקדמות פרויקטים'!C7:C65,"טלפייר - מוסדי",'התקדמות פרויקטים'!Y7:Y65)+SUMIF('התקדמות פרויקטים'!C7:C65,"טלפייר - מוסדי",'התקדמות פרויקטים'!X7:X65)</f>
        <v>0</v>
      </c>
      <c r="D36" s="4">
        <f>SUMIF('התקדמות פרויקטים'!C7:C65,"טלפייר - מוסדי",'התקדמות פרויקטים'!AC7:AC65)+SUMIF('התקדמות פרויקטים'!C7:C65,"טלפייר - מוסדי",'התקדמות פרויקטים'!AB7:AB65)</f>
        <v>0</v>
      </c>
      <c r="E36" s="4">
        <f>SUMIF('התקדמות פרויקטים'!C7:C65,"טלפייר - מוסדי",'התקדמות פרויקטים'!AG7:AG65)+SUMIF('התקדמות פרויקטים'!C7:C65,"טלפייר - מוסדי",'התקדמות פרויקטים'!AF7:AF65)</f>
        <v>0</v>
      </c>
      <c r="F36" s="4">
        <f>SUMIF('התקדמות פרויקטים'!C7:C65,"טלפייר - מוסדי",'התקדמות פרויקטים'!AK7:AK65)+SUMIF('התקדמות פרויקטים'!C7:C65,"טלפייר - מוסדי",'התקדמות פרויקטים'!AJ7:AJ65)</f>
        <v>0</v>
      </c>
      <c r="G36" s="4">
        <f>SUMIF('התקדמות פרויקטים'!C7:C65,"טלפייר - מוסדי",'התקדמות פרויקטים'!AO7:AO65)+SUMIF('התקדמות פרויקטים'!C7:C65,"טלפייר - מוסדי",'התקדמות פרויקטים'!AN7:AN65)</f>
        <v>0</v>
      </c>
      <c r="H36" s="4">
        <f>SUMIF('התקדמות פרויקטים'!C7:C65,"טלפייר - מוסדי",'התקדמות פרויקטים'!AS7:AS65)+SUMIF('התקדמות פרויקטים'!C7:C65,"טלפייר - מוסדי",'התקדמות פרויקטים'!AR7:AR65)</f>
        <v>0</v>
      </c>
      <c r="I36" s="4">
        <f>SUMIF('התקדמות פרויקטים'!C7:C65,"טלפייר - מוסדי",'התקדמות פרויקטים'!AW7:AW65)+SUMIF('התקדמות פרויקטים'!C7:C65,"טלפייר - מוסדי",'התקדמות פרויקטים'!AV7:AV65)</f>
        <v>0</v>
      </c>
      <c r="J36" s="4">
        <f>SUMIF('התקדמות פרויקטים'!C7:C65,"טלפייר - מוסדי",'התקדמות פרויקטים'!BA7:BA65)+SUMIF('התקדמות פרויקטים'!C7:C65,"טלפייר - מוסדי",'התקדמות פרויקטים'!AZ7:AZ65)</f>
        <v>0</v>
      </c>
      <c r="K36" s="4">
        <f>SUMIF('התקדמות פרויקטים'!C7:C65,"טלפייר - מוסדי",'התקדמות פרויקטים'!BE7:BE65)+SUMIF('התקדמות פרויקטים'!C7:C65,"טלפייר - מוסדי",'התקדמות פרויקטים'!BD7:BD65)</f>
        <v>0</v>
      </c>
      <c r="L36" s="4">
        <f>SUMIF('התקדמות פרויקטים'!C7:C65,"טלפייר - מוסדי",'התקדמות פרויקטים'!BI7:BI65)+SUMIF('התקדמות פרויקטים'!C7:C65,"טלפייר - מוסדי",'התקדמות פרויקטים'!BH7:BH65)</f>
        <v>0</v>
      </c>
      <c r="M36" s="4">
        <f>SUMIF('התקדמות פרויקטים'!C7:C65,"טלפייר - מוסדי",'התקדמות פרויקטים'!BM7:BM65)+SUMIF('התקדמות פרויקטים'!C7:C65,"טלפייר - מוסדי",'התקדמות פרויקטים'!BL7:BL65)</f>
        <v>0</v>
      </c>
      <c r="N36" s="4">
        <f>SUMIF('התקדמות פרויקטים'!C7:C65,"טלפייר - מוסדי",'התקדמות פרויקטים'!BQ7:BQ65)+SUMIF('התקדמות פרויקטים'!C7:C65,"טלפייר - מוסדי",'התקדמות פרויקטים'!BP7:BP65)</f>
        <v>0</v>
      </c>
    </row>
    <row r="37" spans="1:14" ht="12.75" customHeight="1">
      <c r="A37" s="3" t="s">
        <v>37</v>
      </c>
      <c r="B37" s="110">
        <f t="shared" si="1"/>
        <v>0</v>
      </c>
      <c r="C37" s="4">
        <f>SUMIF('התקדמות פרויקטים'!C7:C65,"טלפייר - רטרופיט",'התקדמות פרויקטים'!Y7:Y65)+SUMIF('התקדמות פרויקטים'!C7:C65,"טלפייר - רטרופיט",'התקדמות פרויקטים'!X7:X65)</f>
        <v>0</v>
      </c>
      <c r="D37" s="4">
        <f>SUMIF('התקדמות פרויקטים'!C7:C65,"טלפייר - רטרופיט",'התקדמות פרויקטים'!AC7:AC65)+SUMIF('התקדמות פרויקטים'!C7:C65,"טלפייר - רטרופיט",'התקדמות פרויקטים'!AB7:AB65)</f>
        <v>0</v>
      </c>
      <c r="E37" s="4">
        <f>SUMIF('התקדמות פרויקטים'!C7:C65,"טלפייר - רטרופיט",'התקדמות פרויקטים'!AG7:AG65)+SUMIF('התקדמות פרויקטים'!C7:C65,"טלפייר - רטרופיט",'התקדמות פרויקטים'!AF7:AF65)</f>
        <v>0</v>
      </c>
      <c r="F37" s="4">
        <f>SUMIF('התקדמות פרויקטים'!C7:C65,"טלפייר - רטרופיט",'התקדמות פרויקטים'!AK7:AK65)+SUMIF('התקדמות פרויקטים'!C7:C65,"טלפייר - רטרופיט",'התקדמות פרויקטים'!AJ7:AJ65)</f>
        <v>0</v>
      </c>
      <c r="G37" s="4">
        <f>SUMIF('התקדמות פרויקטים'!C7:C65,"טלפייר - רטרופיט",'התקדמות פרויקטים'!AO7:AO65)+SUMIF('התקדמות פרויקטים'!C7:C65,"טלפייר - רטרופיט",'התקדמות פרויקטים'!AN7:AN65)</f>
        <v>0</v>
      </c>
      <c r="H37" s="4">
        <f>SUMIF('התקדמות פרויקטים'!C7:C65,"טלפייר - רטרופיט",'התקדמות פרויקטים'!AS7:AS65)+SUMIF('התקדמות פרויקטים'!C7:C65,"טלפייר - רטרופיט",'התקדמות פרויקטים'!AR7:AR65)</f>
        <v>0</v>
      </c>
      <c r="I37" s="4">
        <f>SUMIF('התקדמות פרויקטים'!C7:C65,"טלפייר - רטרופיט",'התקדמות פרויקטים'!AW7:AW65)+SUMIF('התקדמות פרויקטים'!C7:C65,"טלפייר - רטרופיט",'התקדמות פרויקטים'!AV7:AV65)</f>
        <v>0</v>
      </c>
      <c r="J37" s="4">
        <f>SUMIF('התקדמות פרויקטים'!C7:C65,"טלפייר - רטרופיט",'התקדמות פרויקטים'!BA7:BA65)+SUMIF('התקדמות פרויקטים'!C7:C65,"טלפייר - רטרופיט",'התקדמות פרויקטים'!AZ7:AZ65)</f>
        <v>0</v>
      </c>
      <c r="K37" s="4">
        <f>SUMIF('התקדמות פרויקטים'!C7:C65,"טלפייר - רטרופיט",'התקדמות פרויקטים'!BE7:BE65)+SUMIF('התקדמות פרויקטים'!C7:C65,"טלפייר - רטרופיט",'התקדמות פרויקטים'!BD7:BD65)</f>
        <v>0</v>
      </c>
      <c r="L37" s="4">
        <f>SUMIF('התקדמות פרויקטים'!C7:C65,"טלפייר - רטרופיט",'התקדמות פרויקטים'!BI7:BI65)+SUMIF('התקדמות פרויקטים'!C7:C65,"טלפייר - רטרופיט",'התקדמות פרויקטים'!BH7:BH65)</f>
        <v>0</v>
      </c>
      <c r="M37" s="4">
        <f>SUMIF('התקדמות פרויקטים'!C7:C65,"טלפייר - רטרופיט",'התקדמות פרויקטים'!BM7:BM65)+SUMIF('התקדמות פרויקטים'!C7:C65,"טלפייר - רטרופיט",'התקדמות פרויקטים'!BL7:BL65)</f>
        <v>0</v>
      </c>
      <c r="N37" s="4">
        <f>SUMIF('התקדמות פרויקטים'!C7:C65,"טלפייר - רטרופיט",'התקדמות פרויקטים'!BQ7:BQ65)+SUMIF('התקדמות פרויקטים'!C7:C65,"טלפייר - רטרופיט",'התקדמות פרויקטים'!BP7:BP65)</f>
        <v>0</v>
      </c>
    </row>
    <row r="38" spans="1:14" ht="12.75" customHeight="1">
      <c r="A38" s="3" t="s">
        <v>38</v>
      </c>
      <c r="B38" s="110">
        <f t="shared" si="1"/>
        <v>0</v>
      </c>
      <c r="C38" s="4">
        <f>SUMIF('התקדמות פרויקטים'!C7:C65,"גולן",'התקדמות פרויקטים'!Y7:Y65)+SUMIF('התקדמות פרויקטים'!C7:C65,"גולן",'התקדמות פרויקטים'!X7:X65)</f>
        <v>0</v>
      </c>
      <c r="D38" s="4">
        <f>SUMIF('התקדמות פרויקטים'!C7:C65,"גולן",'התקדמות פרויקטים'!AC7:AC65)+SUMIF('התקדמות פרויקטים'!C7:C65,"גולן",'התקדמות פרויקטים'!AB7:AB65)</f>
        <v>0</v>
      </c>
      <c r="E38" s="4">
        <f>SUMIF('התקדמות פרויקטים'!C7:C65,"גולן",'התקדמות פרויקטים'!AG7:AG65)+SUMIF('התקדמות פרויקטים'!C7:C65,"גולן",'התקדמות פרויקטים'!AF7:AF65)</f>
        <v>0</v>
      </c>
      <c r="F38" s="4">
        <f>SUMIF('התקדמות פרויקטים'!C7:C65,"גולן",'התקדמות פרויקטים'!AK7:AK65)+SUMIF('התקדמות פרויקטים'!C7:C65,"גולן",'התקדמות פרויקטים'!AJ7:AJ65)</f>
        <v>0</v>
      </c>
      <c r="G38" s="4">
        <f>SUMIF('התקדמות פרויקטים'!C7:C65,"גולן",'התקדמות פרויקטים'!AO7:AO65)+SUMIF('התקדמות פרויקטים'!C7:C65,"גולן",'התקדמות פרויקטים'!AN7:AN65)</f>
        <v>0</v>
      </c>
      <c r="H38" s="4">
        <f>SUMIF('התקדמות פרויקטים'!C7:C65,"גולן",'התקדמות פרויקטים'!AS7:AS65)+SUMIF('התקדמות פרויקטים'!C7:C65,"גולן",'התקדמות פרויקטים'!AR7:AR65)</f>
        <v>0</v>
      </c>
      <c r="I38" s="4">
        <f>SUMIF('התקדמות פרויקטים'!C7:C65,"גולן",'התקדמות פרויקטים'!AW7:AW65)+SUMIF('התקדמות פרויקטים'!C7:C65,"גולן",'התקדמות פרויקטים'!AV7:AV65)</f>
        <v>0</v>
      </c>
      <c r="J38" s="4">
        <f>SUMIF('התקדמות פרויקטים'!C7:C65,"גולן",'התקדמות פרויקטים'!BA7:BA65)+SUMIF('התקדמות פרויקטים'!C7:C65,"גולן",'התקדמות פרויקטים'!AZ7:AZ65)</f>
        <v>0</v>
      </c>
      <c r="K38" s="4">
        <f>SUMIF('התקדמות פרויקטים'!C7:C65,"גולן",'התקדמות פרויקטים'!BE7:BE65)+SUMIF('התקדמות פרויקטים'!C7:C65,"גולן",'התקדמות פרויקטים'!BD7:BD65)</f>
        <v>0</v>
      </c>
      <c r="L38" s="4">
        <f>SUMIF('התקדמות פרויקטים'!C7:C65,"גולן",'התקדמות פרויקטים'!BI7:BI65)+SUMIF('התקדמות פרויקטים'!C7:C65,"גולן",'התקדמות פרויקטים'!BH7:BH65)</f>
        <v>0</v>
      </c>
      <c r="M38" s="4">
        <f>SUMIF('התקדמות פרויקטים'!C7:C65,"גולן",'התקדמות פרויקטים'!BM7:BM65)+SUMIF('התקדמות פרויקטים'!C7:C65,"גולן",'התקדמות פרויקטים'!BL7:BL65)</f>
        <v>0</v>
      </c>
      <c r="N38" s="4">
        <f>SUMIF('התקדמות פרויקטים'!C7:C65,"גולן",'התקדמות פרויקטים'!BQ7:BQ65)+SUMIF('התקדמות פרויקטים'!C7:C65,"גולן",'התקדמות פרויקטים'!BP7:BP65)</f>
        <v>0</v>
      </c>
    </row>
    <row r="39" spans="1:14" ht="12.75" customHeight="1">
      <c r="A39" s="3" t="s">
        <v>39</v>
      </c>
      <c r="B39" s="110">
        <f t="shared" si="1"/>
        <v>0</v>
      </c>
      <c r="C39" s="4">
        <f>SUMIF('התקדמות פרויקטים'!C7:C65,"טלפייר - שירות",'התקדמות פרויקטים'!Y7:Y65)+SUMIF('התקדמות פרויקטים'!C7:C65,"טלפייר - שירות",'התקדמות פרויקטים'!X7:X65)</f>
        <v>0</v>
      </c>
      <c r="D39" s="4">
        <f>SUMIF('התקדמות פרויקטים'!C7:C65,"טלפייר - שירות",'התקדמות פרויקטים'!AC7:AC65)+SUMIF('התקדמות פרויקטים'!C7:C65,"טלפייר - שירות",'התקדמות פרויקטים'!AB7:AB65)</f>
        <v>0</v>
      </c>
      <c r="E39" s="4">
        <f>SUMIF('התקדמות פרויקטים'!C7:C65,"טלפייר - שירות",'התקדמות פרויקטים'!AG7:AG65)+SUMIF('התקדמות פרויקטים'!C7:C65,"טלפייר - שירות",'התקדמות פרויקטים'!AF7:AF65)</f>
        <v>0</v>
      </c>
      <c r="F39" s="4">
        <f>SUMIF('התקדמות פרויקטים'!C7:C65,"טלפייר - שירות",'התקדמות פרויקטים'!AK7:AK65)+SUMIF('התקדמות פרויקטים'!C7:C65,"טלפייר - שירות",'התקדמות פרויקטים'!AJ7:AJ65)</f>
        <v>0</v>
      </c>
      <c r="G39" s="4">
        <f>SUMIF('התקדמות פרויקטים'!C7:C65,"טלפייר - שירות",'התקדמות פרויקטים'!AO7:AO65)+SUMIF('התקדמות פרויקטים'!C7:C65,"טלפייר - שירות",'התקדמות פרויקטים'!AN7:AN65)</f>
        <v>0</v>
      </c>
      <c r="H39" s="4">
        <f>SUMIF('התקדמות פרויקטים'!C7:C65,"טלפייר - שירות",'התקדמות פרויקטים'!AS7:AS65)+SUMIF('התקדמות פרויקטים'!C7:C65,"טלפייר - שירות",'התקדמות פרויקטים'!AR7:AR65)</f>
        <v>0</v>
      </c>
      <c r="I39" s="4">
        <f>SUMIF('התקדמות פרויקטים'!C7:C65,"טלפייר - שירות",'התקדמות פרויקטים'!AW7:AW65)+SUMIF('התקדמות פרויקטים'!C7:C65,"טלפייר - שירות",'התקדמות פרויקטים'!AV7:AV65)</f>
        <v>0</v>
      </c>
      <c r="J39" s="4">
        <f>SUMIF('התקדמות פרויקטים'!C7:C65,"טלפייר - שירות",'התקדמות פרויקטים'!BA7:BA65)+SUMIF('התקדמות פרויקטים'!C7:C65,"טלפייר - שירות",'התקדמות פרויקטים'!AZ7:AZ65)</f>
        <v>0</v>
      </c>
      <c r="K39" s="4">
        <f>SUMIF('התקדמות פרויקטים'!C7:C65,"טלפייר - שירות",'התקדמות פרויקטים'!BE7:BE65)+SUMIF('התקדמות פרויקטים'!C7:C65,"טלפייר - שירות",'התקדמות פרויקטים'!BD7:BD65)</f>
        <v>0</v>
      </c>
      <c r="L39" s="4">
        <f>SUMIF('התקדמות פרויקטים'!C7:C65,"טלפייר - שירות",'התקדמות פרויקטים'!BI7:BI65)+SUMIF('התקדמות פרויקטים'!C7:C65,"טלפייר - שירות",'התקדמות פרויקטים'!BH7:BH65)</f>
        <v>0</v>
      </c>
      <c r="M39" s="4">
        <f>SUMIF('התקדמות פרויקטים'!C7:C65,"טלפייר - שירות",'התקדמות פרויקטים'!BM7:BM65)+SUMIF('התקדמות פרויקטים'!C7:C65,"טלפייר - שירות",'התקדמות פרויקטים'!BL7:BL65)</f>
        <v>0</v>
      </c>
      <c r="N39" s="4">
        <f>SUMIF('התקדמות פרויקטים'!C7:C65,"טלפייר - שירות",'התקדמות פרויקטים'!BQ7:BQ65)+SUMIF('התקדמות פרויקטים'!C7:C65,"טלפייר - שירות",'התקדמות פרויקטים'!BP7:BP65)</f>
        <v>0</v>
      </c>
    </row>
    <row r="40" spans="1:14" ht="12.75" customHeight="1">
      <c r="A40" s="3" t="s">
        <v>40</v>
      </c>
      <c r="B40" s="110">
        <f t="shared" si="1"/>
        <v>0</v>
      </c>
      <c r="C40" s="4">
        <f>SUMIF('התקדמות פרויקטים'!C7:C65,"טלפייר חול",'התקדמות פרויקטים'!Y7:Y65)+SUMIF('התקדמות פרויקטים'!C7:C65,"טלפייר חול",'התקדמות פרויקטים'!X7:X65)</f>
        <v>0</v>
      </c>
      <c r="D40" s="4">
        <f>SUMIF('התקדמות פרויקטים'!C7:C65,"טלפייר חול",'התקדמות פרויקטים'!AC7:AC65)+SUMIF('התקדמות פרויקטים'!C7:C65,"טלפייר חול",'התקדמות פרויקטים'!AB7:AB65)</f>
        <v>0</v>
      </c>
      <c r="E40" s="4">
        <f>SUMIF('התקדמות פרויקטים'!C7:C65,"טלפייר חול",'התקדמות פרויקטים'!AG7:AG65)+SUMIF('התקדמות פרויקטים'!C7:C65,"טלפייר חול",'התקדמות פרויקטים'!AF7:AF65)</f>
        <v>0</v>
      </c>
      <c r="F40" s="4">
        <f>SUMIF('התקדמות פרויקטים'!C7:C65,"טלפייר חול",'התקדמות פרויקטים'!AK7:AK65)+SUMIF('התקדמות פרויקטים'!C7:C65,"טלפייר חול",'התקדמות פרויקטים'!AJ7:AJ65)</f>
        <v>0</v>
      </c>
      <c r="G40" s="4">
        <f>SUMIF('התקדמות פרויקטים'!C7:C65,"טלפייר חול",'התקדמות פרויקטים'!AO7:AO65)+SUMIF('התקדמות פרויקטים'!C7:C65,"טלפייר חול",'התקדמות פרויקטים'!AN7:AN65)</f>
        <v>0</v>
      </c>
      <c r="H40" s="4">
        <f>SUMIF('התקדמות פרויקטים'!C7:C65,"טלפייר חול",'התקדמות פרויקטים'!AS7:AS65)+SUMIF('התקדמות פרויקטים'!C7:C65,"טלפייר חול",'התקדמות פרויקטים'!AR7:AR65)</f>
        <v>0</v>
      </c>
      <c r="I40" s="4">
        <f>SUMIF('התקדמות פרויקטים'!C7:C65,"טלפייר חול",'התקדמות פרויקטים'!AW7:AW65)+SUMIF('התקדמות פרויקטים'!C7:C65,"טלפייר חול",'התקדמות פרויקטים'!AV7:AV65)</f>
        <v>0</v>
      </c>
      <c r="J40" s="4">
        <f>SUMIF('התקדמות פרויקטים'!C7:C65,"טלפייר חול",'התקדמות פרויקטים'!BA7:BA65)+SUMIF('התקדמות פרויקטים'!C7:C65,"טלפייר חול",'התקדמות פרויקטים'!AZ7:AZ65)</f>
        <v>0</v>
      </c>
      <c r="K40" s="4">
        <f>SUMIF('התקדמות פרויקטים'!C7:C65,"טלפייר חול",'התקדמות פרויקטים'!BE7:BE65)+SUMIF('התקדמות פרויקטים'!C7:C65,"טלפייר חול",'התקדמות פרויקטים'!BD7:BD65)</f>
        <v>0</v>
      </c>
      <c r="L40" s="4">
        <f>SUMIF('התקדמות פרויקטים'!C7:C65,"טלפייר חול",'התקדמות פרויקטים'!BI7:BI65)+SUMIF('התקדמות פרויקטים'!C7:C65,"טלפייר חול",'התקדמות פרויקטים'!BH7:BH65)</f>
        <v>0</v>
      </c>
      <c r="M40" s="4">
        <f>SUMIF('התקדמות פרויקטים'!C7:C65,"טלפייר חול",'התקדמות פרויקטים'!BM7:BM65)+SUMIF('התקדמות פרויקטים'!C7:C65,"טלפייר חול",'התקדמות פרויקטים'!BL7:BL65)</f>
        <v>0</v>
      </c>
      <c r="N40" s="4">
        <f>SUMIF('התקדמות פרויקטים'!C7:C65,"טלפייר חול",'התקדמות פרויקטים'!BQ7:BQ65)+SUMIF('התקדמות פרויקטים'!C7:C65,"טלפייר חול",'התקדמות פרויקטים'!BP7:BP65)</f>
        <v>0</v>
      </c>
    </row>
    <row r="41" spans="1:14" ht="12.75" customHeight="1">
      <c r="A41" s="3" t="s">
        <v>41</v>
      </c>
      <c r="B41" s="110">
        <f t="shared" si="1"/>
        <v>1993164</v>
      </c>
      <c r="C41" s="4">
        <f>SUMIF('התקדמות פרויקטים'!D7:D65,"אבטחה תוכנה",'התקדמות פרויקטים'!Y7:Y65)+SUMIF('התקדמות פרויקטים'!D7:D65,"אבטחה תוכנה",'התקדמות פרויקטים'!X7:X65)</f>
        <v>642840</v>
      </c>
      <c r="D41" s="4">
        <f>SUMIF('התקדמות פרויקטים'!D7:D65,"אבטחה תוכנה",'התקדמות פרויקטים'!AC7:AC65)+SUMIF('התקדמות פרויקטים'!D7:D65,"אבטחה תוכנה",'התקדמות פרויקטים'!AB7:AB65)</f>
        <v>557172</v>
      </c>
      <c r="E41" s="4">
        <f>SUMIF('התקדמות פרויקטים'!D7:D65,"אבטחה תוכנה",'התקדמות פרויקטים'!AG7:AG65)+SUMIF('התקדמות פרויקטים'!D7:D65,"אבטחה תוכנה",'התקדמות פרויקטים'!AF7:AF65)</f>
        <v>793152</v>
      </c>
      <c r="F41" s="4">
        <f>SUMIF('התקדמות פרויקטים'!D7:D65,"אבטחה תוכנה",'התקדמות פרויקטים'!AK7:AK65)+SUMIF('התקדמות פרויקטים'!D7:D65,"אבטחה תוכנה",'התקדמות פרויקטים'!AJ7:AJ65)</f>
        <v>0</v>
      </c>
      <c r="G41" s="4">
        <f>SUMIF('התקדמות פרויקטים'!D7:D65,"אבטחה תוכנה",'התקדמות פרויקטים'!AO7:AO65)+SUMIF('התקדמות פרויקטים'!D7:D65,"אבטחה תוכנה",'התקדמות פרויקטים'!AN7:AN65)</f>
        <v>0</v>
      </c>
      <c r="H41" s="4">
        <f>SUMIF('התקדמות פרויקטים'!D7:D65,"אבטחה תוכנה",'התקדמות פרויקטים'!AS7:AS65)+SUMIF('התקדמות פרויקטים'!D7:D65,"אבטחה תוכנה",'התקדמות פרויקטים'!AR7:AR65)</f>
        <v>0</v>
      </c>
      <c r="I41" s="4">
        <f>SUMIF('התקדמות פרויקטים'!D7:D65,"אבטחה תוכנה",'התקדמות פרויקטים'!AW7:AW65)+SUMIF('התקדמות פרויקטים'!D7:D65,"אבטחה תוכנה",'התקדמות פרויקטים'!AV7:AV65)</f>
        <v>0</v>
      </c>
      <c r="J41" s="4">
        <f>SUMIF('התקדמות פרויקטים'!D7:D65,"אבטחה תוכנה",'התקדמות פרויקטים'!BA7:BA65)+SUMIF('התקדמות פרויקטים'!D7:D65,"אבטחה תוכנה",'התקדמות פרויקטים'!AZ7:AZ65)</f>
        <v>0</v>
      </c>
      <c r="K41" s="4">
        <f>SUMIF('התקדמות פרויקטים'!D7:D65,"אבטחה תוכנה",'התקדמות פרויקטים'!BE7:BE65)+SUMIF('התקדמות פרויקטים'!D7:D65,"אבטחה תוכנה",'התקדמות פרויקטים'!BD7:BD65)</f>
        <v>0</v>
      </c>
      <c r="L41" s="4">
        <f>SUMIF('התקדמות פרויקטים'!D7:D65,"אבטחה תוכנה",'התקדמות פרויקטים'!BI7:BI65)+SUMIF('התקדמות פרויקטים'!D7:D65,"אבטחה תוכנה",'התקדמות פרויקטים'!BH7:BH65)</f>
        <v>0</v>
      </c>
      <c r="M41" s="4">
        <f>SUMIF('התקדמות פרויקטים'!D7:D65,"אבטחה תוכנה",'התקדמות פרויקטים'!BM7:BM65)+SUMIF('התקדמות פרויקטים'!D7:D65,"אבטחה תוכנה",'התקדמות פרויקטים'!BL7:BL65)</f>
        <v>0</v>
      </c>
      <c r="N41" s="4">
        <f>SUMIF('התקדמות פרויקטים'!D7:D65,"אבטחה תוכנה",'התקדמות פרויקטים'!BQ7:BQ65)+SUMIF('התקדמות פרויקטים'!D7:D65,"אבטחה תוכנה",'התקדמות פרויקטים'!BP7:BP65)</f>
        <v>0</v>
      </c>
    </row>
    <row r="42" spans="1:14" ht="12.75" customHeight="1">
      <c r="A42" s="3" t="s">
        <v>42</v>
      </c>
      <c r="B42" s="110">
        <f t="shared" si="1"/>
        <v>565584.46000000008</v>
      </c>
      <c r="C42" s="4">
        <f>('התקדמות פרויקטים'!X71)-SUM(C36:C41)</f>
        <v>179819.65000000002</v>
      </c>
      <c r="D42" s="4">
        <f>('התקדמות פרויקטים'!AB71)-SUM(D36:D41)</f>
        <v>196184.81000000006</v>
      </c>
      <c r="E42" s="4">
        <f>('התקדמות פרויקטים'!AF71)-SUM(E36:E41)</f>
        <v>189580</v>
      </c>
      <c r="F42" s="4">
        <f>('התקדמות פרויקטים'!AJ71)-SUM(F36:F41)</f>
        <v>0</v>
      </c>
      <c r="G42" s="4">
        <f>('התקדמות פרויקטים'!AN71)-SUM(G36:G41)</f>
        <v>0</v>
      </c>
      <c r="H42" s="4">
        <f>('התקדמות פרויקטים'!AR71)-SUM(H36:H41)</f>
        <v>0</v>
      </c>
      <c r="I42" s="4">
        <f>('התקדמות פרויקטים'!AV71)-SUM(I36:I41)</f>
        <v>0</v>
      </c>
      <c r="J42" s="4">
        <f>('התקדמות פרויקטים'!AZ71)-SUM(J36:J41)</f>
        <v>0</v>
      </c>
      <c r="K42" s="4">
        <f>('התקדמות פרויקטים'!BD71)-SUM(K36:K41)</f>
        <v>0</v>
      </c>
      <c r="L42" s="4">
        <f>('התקדמות פרויקטים'!BH71)-SUM(L36:L41)</f>
        <v>0</v>
      </c>
      <c r="M42" s="4">
        <f>('התקדמות פרויקטים'!BL71)-SUM(M36:M41)</f>
        <v>0</v>
      </c>
      <c r="N42" s="4">
        <f>('התקדמות פרויקטים'!BP71)-SUM(N36:N41)</f>
        <v>0</v>
      </c>
    </row>
    <row r="43" spans="1:14" ht="12.75" customHeight="1">
      <c r="A43" s="3" t="s">
        <v>43</v>
      </c>
      <c r="B43" s="110">
        <f xml:space="preserve"> SUM(C43:N43)</f>
        <v>361343</v>
      </c>
      <c r="C43" s="4">
        <f>'התקדמות פרויקטים'!$Y$69</f>
        <v>102860</v>
      </c>
      <c r="D43" s="4">
        <f>'התקדמות פרויקטים'!$AC$69</f>
        <v>173764</v>
      </c>
      <c r="E43" s="4">
        <f>'התקדמות פרויקטים'!$AG$69</f>
        <v>52719</v>
      </c>
      <c r="F43" s="4">
        <f>'התקדמות פרויקטים'!$AK$69</f>
        <v>0</v>
      </c>
      <c r="G43" s="4">
        <f>'התקדמות פרויקטים'!$AO$69</f>
        <v>0</v>
      </c>
      <c r="H43" s="4">
        <f>'התקדמות פרויקטים'!$AS$69</f>
        <v>0</v>
      </c>
      <c r="I43" s="4">
        <f>'התקדמות פרויקטים'!$AW$69</f>
        <v>0</v>
      </c>
      <c r="J43" s="4">
        <f>'התקדמות פרויקטים'!$BA$69</f>
        <v>0</v>
      </c>
      <c r="K43" s="4">
        <f>'התקדמות פרויקטים'!$BE$69</f>
        <v>0</v>
      </c>
      <c r="L43" s="4">
        <f>'התקדמות פרויקטים'!$BI$69</f>
        <v>0</v>
      </c>
      <c r="M43" s="4">
        <f>'התקדמות פרויקטים'!$BM$69</f>
        <v>0</v>
      </c>
      <c r="N43" s="4">
        <f>'התקדמות פרויקטים'!$BQ$69</f>
        <v>32000</v>
      </c>
    </row>
    <row r="44" spans="1:14" ht="12.75" customHeight="1"/>
    <row r="45" spans="1:14" ht="14.25" customHeight="1">
      <c r="A45" s="5" t="s">
        <v>44</v>
      </c>
      <c r="B45" s="110">
        <f>SUM(C45:N45)</f>
        <v>2920091.46</v>
      </c>
      <c r="C45" s="110">
        <f>'התקדמות פרויקטים'!$B$78</f>
        <v>925519.65</v>
      </c>
      <c r="D45" s="110">
        <f>'התקדמות פרויקטים'!$C$78</f>
        <v>927120.81</v>
      </c>
      <c r="E45" s="110">
        <f>'התקדמות פרויקטים'!$D$78</f>
        <v>1035451</v>
      </c>
      <c r="F45" s="110">
        <f>'התקדמות פרויקטים'!$E$78</f>
        <v>0</v>
      </c>
      <c r="G45" s="110">
        <f>'התקדמות פרויקטים'!$F$78</f>
        <v>0</v>
      </c>
      <c r="H45" s="110">
        <f>'התקדמות פרויקטים'!$G$78</f>
        <v>0</v>
      </c>
      <c r="I45" s="110">
        <f>'התקדמות פרויקטים'!$H$78</f>
        <v>0</v>
      </c>
      <c r="J45" s="110">
        <f>'התקדמות פרויקטים'!$I$78</f>
        <v>0</v>
      </c>
      <c r="K45" s="110">
        <f>'התקדמות פרויקטים'!$J$78</f>
        <v>0</v>
      </c>
      <c r="L45" s="110">
        <f>'התקדמות פרויקטים'!$K$78</f>
        <v>0</v>
      </c>
      <c r="M45" s="110">
        <f>'התקדמות פרויקטים'!$L$78</f>
        <v>0</v>
      </c>
      <c r="N45" s="110">
        <f>'התקדמות פרויקטים'!$M$78</f>
        <v>32000</v>
      </c>
    </row>
    <row r="46" spans="1:14" ht="14.25" customHeight="1">
      <c r="A46" s="5" t="s">
        <v>45</v>
      </c>
      <c r="B46" s="128">
        <f>(B45/B4)</f>
        <v>0.23267653619871356</v>
      </c>
      <c r="C46" s="128">
        <f t="shared" ref="C46:N46" si="3">(C45/C5)</f>
        <v>1.3032422655516238</v>
      </c>
      <c r="D46" s="128">
        <f t="shared" si="3"/>
        <v>1.570946545638777</v>
      </c>
      <c r="E46" s="128">
        <f t="shared" si="3"/>
        <v>1.2179383579931944</v>
      </c>
      <c r="F46" s="128">
        <f t="shared" si="3"/>
        <v>0</v>
      </c>
      <c r="G46" s="128">
        <f t="shared" si="3"/>
        <v>0</v>
      </c>
      <c r="H46" s="128">
        <f t="shared" si="3"/>
        <v>0</v>
      </c>
      <c r="I46" s="128">
        <f t="shared" si="3"/>
        <v>0</v>
      </c>
      <c r="J46" s="128">
        <f t="shared" si="3"/>
        <v>0</v>
      </c>
      <c r="K46" s="128">
        <f t="shared" si="3"/>
        <v>0</v>
      </c>
      <c r="L46" s="128">
        <f t="shared" si="3"/>
        <v>0</v>
      </c>
      <c r="M46" s="128">
        <f t="shared" si="3"/>
        <v>0</v>
      </c>
      <c r="N46" s="128">
        <f t="shared" si="3"/>
        <v>2.2814593640004249E-2</v>
      </c>
    </row>
    <row r="47" spans="1:14" ht="14.25" customHeight="1">
      <c r="A47" s="5" t="s">
        <v>46</v>
      </c>
      <c r="B47" s="110"/>
      <c r="C47" s="119">
        <f t="shared" ref="C47:N47" si="4">(C49/C48)</f>
        <v>1.3032422655516238</v>
      </c>
      <c r="D47" s="119">
        <f t="shared" si="4"/>
        <v>1.424741997056141</v>
      </c>
      <c r="E47" s="119">
        <f t="shared" si="4"/>
        <v>1.3429854066564024</v>
      </c>
      <c r="F47" s="119">
        <f t="shared" si="4"/>
        <v>0.82443594723777025</v>
      </c>
      <c r="G47" s="119">
        <f t="shared" si="4"/>
        <v>0.59478093375590002</v>
      </c>
      <c r="H47" s="119">
        <f t="shared" si="4"/>
        <v>0.46147927867064942</v>
      </c>
      <c r="I47" s="119">
        <f t="shared" si="4"/>
        <v>0.37946555388325626</v>
      </c>
      <c r="J47" s="119">
        <f t="shared" si="4"/>
        <v>0.32220376154285196</v>
      </c>
      <c r="K47" s="119">
        <f t="shared" si="4"/>
        <v>0.27860746021166743</v>
      </c>
      <c r="L47" s="119">
        <f t="shared" si="4"/>
        <v>0.24644988240241431</v>
      </c>
      <c r="M47" s="119">
        <f t="shared" si="4"/>
        <v>0.22094755652976131</v>
      </c>
      <c r="N47" s="119">
        <f t="shared" si="4"/>
        <v>0.20174737183915986</v>
      </c>
    </row>
    <row r="48" spans="1:14" ht="14.25" customHeight="1">
      <c r="A48" s="5" t="s">
        <v>47</v>
      </c>
      <c r="B48" s="110"/>
      <c r="C48" s="110">
        <f>C5</f>
        <v>710167</v>
      </c>
      <c r="D48" s="110">
        <f>(C5+D5)</f>
        <v>1300334</v>
      </c>
      <c r="E48" s="110">
        <f>SUM(C5:E5)</f>
        <v>2150501</v>
      </c>
      <c r="F48" s="110">
        <f>SUM(C5:F5)</f>
        <v>3503112</v>
      </c>
      <c r="G48" s="110">
        <f>SUM(C5:G5)</f>
        <v>4855723</v>
      </c>
      <c r="H48" s="110">
        <f>SUM(C5:H5)</f>
        <v>6258334</v>
      </c>
      <c r="I48" s="110">
        <f>SUM(C5:I5)</f>
        <v>7610945</v>
      </c>
      <c r="J48" s="110">
        <f>SUM(C5:J5)</f>
        <v>8963556</v>
      </c>
      <c r="K48" s="110">
        <f>SUM(C5:K5)</f>
        <v>10366167</v>
      </c>
      <c r="L48" s="110">
        <f>SUM(C5:L5)</f>
        <v>11718778</v>
      </c>
      <c r="M48" s="110">
        <f>SUM(C5:M5)</f>
        <v>13071389</v>
      </c>
      <c r="N48" s="110">
        <f>SUM(C5:N5)</f>
        <v>14474000</v>
      </c>
    </row>
    <row r="49" spans="1:14" ht="14.25" customHeight="1">
      <c r="A49" s="5" t="s">
        <v>46</v>
      </c>
      <c r="B49" s="110"/>
      <c r="C49" s="110">
        <f>C45</f>
        <v>925519.65</v>
      </c>
      <c r="D49" s="110">
        <f>(C45+D45)</f>
        <v>1852640.46</v>
      </c>
      <c r="E49" s="110">
        <f>SUM(C45:E45)</f>
        <v>2888091.46</v>
      </c>
      <c r="F49" s="110">
        <f>SUM(C45:F45)</f>
        <v>2888091.46</v>
      </c>
      <c r="G49" s="110">
        <f>SUM(C45:G45)</f>
        <v>2888091.46</v>
      </c>
      <c r="H49" s="110">
        <f>SUM(C45:H45)</f>
        <v>2888091.46</v>
      </c>
      <c r="I49" s="110">
        <f>SUM(C45:I45)</f>
        <v>2888091.46</v>
      </c>
      <c r="J49" s="110">
        <f>SUM(C45:J45)</f>
        <v>2888091.46</v>
      </c>
      <c r="K49" s="110">
        <f>SUM(C45:K45)</f>
        <v>2888091.46</v>
      </c>
      <c r="L49" s="110">
        <f>SUM(C45:L45)</f>
        <v>2888091.46</v>
      </c>
      <c r="M49" s="110">
        <f>SUM(C45:M45)</f>
        <v>2888091.46</v>
      </c>
      <c r="N49" s="110">
        <f>SUM(C45:N45)</f>
        <v>2920091.46</v>
      </c>
    </row>
    <row r="50" spans="1:14" ht="15.75" customHeight="1">
      <c r="E50" s="468"/>
      <c r="F50" s="523"/>
      <c r="G50" s="523"/>
      <c r="H50" s="523"/>
      <c r="I50" s="523"/>
    </row>
    <row r="51" spans="1:14" ht="12.75" customHeight="1"/>
    <row r="52" spans="1:14" ht="12.75" customHeight="1"/>
    <row r="53" spans="1:14" ht="12.75" customHeight="1">
      <c r="E53" s="110">
        <f>H53+K53</f>
        <v>14474000</v>
      </c>
      <c r="F53" s="467" t="s">
        <v>48</v>
      </c>
      <c r="G53" s="524"/>
      <c r="K53" s="110">
        <f>B5</f>
        <v>14474000</v>
      </c>
      <c r="L53" s="467" t="s">
        <v>49</v>
      </c>
      <c r="M53" s="524"/>
    </row>
    <row r="54" spans="1:14" ht="12.75" customHeight="1"/>
    <row r="55" spans="1:14" ht="12.75" customHeight="1">
      <c r="E55" s="110">
        <f>B45</f>
        <v>2920091.46</v>
      </c>
      <c r="F55" s="467" t="s">
        <v>50</v>
      </c>
      <c r="G55" s="524"/>
      <c r="H55" s="110">
        <f>SUM(B36:B40)</f>
        <v>0</v>
      </c>
      <c r="I55" s="467" t="s">
        <v>51</v>
      </c>
      <c r="J55" s="524"/>
      <c r="K55" s="110">
        <f>SUM(B41:B43)</f>
        <v>2920091.46</v>
      </c>
      <c r="L55" s="467" t="s">
        <v>52</v>
      </c>
      <c r="M55" s="524"/>
    </row>
    <row r="56" spans="1:14" ht="12.75" customHeight="1"/>
    <row r="57" spans="1:14" ht="12.75" customHeight="1">
      <c r="B57" s="129">
        <f>(B45 / B5)</f>
        <v>0.20174737183915986</v>
      </c>
      <c r="C57" s="467" t="s">
        <v>53</v>
      </c>
      <c r="D57" s="524"/>
      <c r="E57" s="110">
        <f>E53 - E55</f>
        <v>11553908.539999999</v>
      </c>
      <c r="F57" s="467" t="s">
        <v>54</v>
      </c>
      <c r="G57" s="524"/>
      <c r="K57" s="110">
        <f>K55 - K53</f>
        <v>-11553908.539999999</v>
      </c>
      <c r="L57" s="467" t="s">
        <v>54</v>
      </c>
      <c r="M57" s="524"/>
    </row>
    <row r="58" spans="1:14" ht="12.75" customHeight="1"/>
    <row r="59" spans="1:14" ht="12.75" customHeight="1">
      <c r="K59" s="6">
        <f>K55 / K53</f>
        <v>0.20174737183915986</v>
      </c>
    </row>
  </sheetData>
  <mergeCells count="12">
    <mergeCell ref="E1:I1"/>
    <mergeCell ref="E32:I32"/>
    <mergeCell ref="E50:I50"/>
    <mergeCell ref="F53:G53"/>
    <mergeCell ref="L53:M53"/>
    <mergeCell ref="E16:I16"/>
    <mergeCell ref="C57:D57"/>
    <mergeCell ref="F55:G55"/>
    <mergeCell ref="I55:J55"/>
    <mergeCell ref="L55:M55"/>
    <mergeCell ref="F57:G57"/>
    <mergeCell ref="L57:M57"/>
  </mergeCells>
  <pageMargins left="0.7" right="0.7" top="0.75" bottom="0.75" header="0" footer="0"/>
  <pageSetup orientation="landscape"/>
  <ignoredErrors>
    <ignoredError sqref="C19:D19 C20 E19:F19 D20:D24 E20:F20 E48:N48" formulaRange="1"/>
    <ignoredError sqref="E22:E23" formula="1"/>
    <ignoredError sqref="D25:D26" formula="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2" filterMode="1"/>
  <dimension ref="A1:BZ148"/>
  <sheetViews>
    <sheetView zoomScale="85" zoomScaleNormal="85" workbookViewId="0">
      <pane xSplit="1" ySplit="6" topLeftCell="AG7" activePane="bottomRight" state="frozen"/>
      <selection pane="bottomRight" activeCell="A26" sqref="A26"/>
      <selection pane="bottomLeft" activeCell="A6" sqref="A6"/>
      <selection pane="topRight" activeCell="B1" sqref="B1"/>
    </sheetView>
  </sheetViews>
  <sheetFormatPr defaultColWidth="12.5703125" defaultRowHeight="15" customHeight="1"/>
  <cols>
    <col min="1" max="1" width="39" customWidth="1"/>
    <col min="2" max="2" width="25" customWidth="1"/>
    <col min="3" max="3" width="18.42578125" customWidth="1"/>
    <col min="4" max="4" width="23.42578125" customWidth="1"/>
    <col min="5" max="5" width="16.42578125" customWidth="1"/>
    <col min="6" max="6" width="18.42578125" customWidth="1"/>
    <col min="7" max="7" width="19.85546875" customWidth="1"/>
    <col min="8" max="8" width="20.140625" customWidth="1"/>
    <col min="9" max="9" width="19.5703125" customWidth="1"/>
    <col min="10" max="10" width="16.28515625" customWidth="1"/>
    <col min="11" max="11" width="16" bestFit="1" customWidth="1"/>
    <col min="12" max="12" width="14.42578125" customWidth="1"/>
    <col min="13" max="13" width="15.5703125" customWidth="1"/>
    <col min="14" max="21" width="13.5703125" customWidth="1"/>
    <col min="22" max="22" width="13.42578125" customWidth="1"/>
    <col min="23" max="24" width="12.42578125" customWidth="1"/>
    <col min="25" max="25" width="13.42578125" customWidth="1"/>
    <col min="26" max="26" width="10.5703125" customWidth="1"/>
    <col min="27" max="27" width="11.5703125" customWidth="1"/>
    <col min="28" max="28" width="13" customWidth="1"/>
    <col min="29" max="29" width="14.42578125" customWidth="1"/>
    <col min="30" max="30" width="13.42578125" customWidth="1"/>
    <col min="31" max="32" width="12.42578125" customWidth="1"/>
    <col min="33" max="33" width="13.5703125" customWidth="1"/>
    <col min="34" max="34" width="12.42578125" customWidth="1"/>
    <col min="35" max="36" width="13.5703125" customWidth="1"/>
    <col min="37" max="37" width="13.42578125" customWidth="1"/>
    <col min="38" max="38" width="12.42578125" customWidth="1"/>
    <col min="39" max="40" width="13.42578125" customWidth="1"/>
    <col min="41" max="41" width="14.42578125" customWidth="1"/>
    <col min="42" max="42" width="14.5703125" bestFit="1" customWidth="1"/>
    <col min="43" max="45" width="13.42578125" customWidth="1"/>
    <col min="46" max="46" width="14.42578125" customWidth="1"/>
    <col min="47" max="47" width="17.140625" customWidth="1"/>
    <col min="48" max="48" width="14" customWidth="1"/>
    <col min="49" max="50" width="14.42578125" customWidth="1"/>
    <col min="51" max="52" width="14.5703125" customWidth="1"/>
    <col min="53" max="53" width="13.5703125" customWidth="1"/>
    <col min="54" max="54" width="14.42578125" customWidth="1"/>
    <col min="55" max="56" width="14.5703125" customWidth="1"/>
    <col min="57" max="57" width="13.5703125" customWidth="1"/>
    <col min="58" max="58" width="14" customWidth="1"/>
    <col min="59" max="59" width="13.85546875" customWidth="1"/>
    <col min="60" max="60" width="14.5703125" customWidth="1"/>
    <col min="61" max="61" width="15" customWidth="1"/>
    <col min="62" max="62" width="12.42578125" customWidth="1"/>
    <col min="63" max="64" width="13.42578125" customWidth="1"/>
    <col min="65" max="65" width="12.42578125" customWidth="1"/>
    <col min="66" max="66" width="13.42578125" customWidth="1"/>
    <col min="67" max="68" width="12.42578125" customWidth="1"/>
    <col min="69" max="69" width="13.42578125" customWidth="1"/>
    <col min="70" max="70" width="15.42578125" customWidth="1"/>
    <col min="71" max="71" width="16.5703125" customWidth="1"/>
    <col min="72" max="74" width="15.42578125" customWidth="1"/>
    <col min="75" max="75" width="11.42578125" customWidth="1"/>
    <col min="76" max="76" width="14.85546875" customWidth="1"/>
    <col min="77" max="77" width="14" customWidth="1"/>
    <col min="78" max="78" width="17.7109375" customWidth="1"/>
    <col min="79" max="91" width="8.42578125" customWidth="1"/>
  </cols>
  <sheetData>
    <row r="1" spans="1:78" ht="12.75" customHeight="1">
      <c r="A1" s="8" t="s">
        <v>55</v>
      </c>
      <c r="B1" s="9"/>
      <c r="C1" s="10">
        <f>H68</f>
        <v>7267781.9700000007</v>
      </c>
      <c r="D1" s="475" t="s">
        <v>56</v>
      </c>
      <c r="E1" s="523"/>
      <c r="F1" s="11"/>
      <c r="G1" s="11"/>
      <c r="H1" s="11"/>
      <c r="I1" s="11"/>
      <c r="J1" s="12"/>
      <c r="K1" s="13"/>
      <c r="L1" s="13"/>
      <c r="M1" s="12"/>
      <c r="BJ1" s="383">
        <v>225000</v>
      </c>
    </row>
    <row r="2" spans="1:78" ht="12.75" customHeight="1">
      <c r="A2" s="17">
        <f>BT68 - C3+C2-F69</f>
        <v>7062245.540000001</v>
      </c>
      <c r="B2" s="8" t="s">
        <v>57</v>
      </c>
      <c r="C2" s="10">
        <f>$G$69</f>
        <v>992645.54</v>
      </c>
      <c r="D2" s="475" t="s">
        <v>58</v>
      </c>
      <c r="E2" s="523"/>
      <c r="F2" s="477" t="s">
        <v>59</v>
      </c>
      <c r="G2" s="523"/>
      <c r="H2" s="523"/>
      <c r="I2" s="523"/>
      <c r="J2" s="18"/>
      <c r="K2" s="10">
        <f>F68</f>
        <v>19465175.600000001</v>
      </c>
      <c r="L2" s="10"/>
      <c r="M2" s="475"/>
      <c r="N2" s="523"/>
      <c r="O2" s="523"/>
      <c r="P2" s="523"/>
      <c r="Q2" s="523"/>
      <c r="R2" s="523"/>
      <c r="S2" s="523"/>
      <c r="T2" s="523"/>
      <c r="U2" s="523"/>
      <c r="V2" s="525"/>
      <c r="AR2" t="s">
        <v>60</v>
      </c>
      <c r="BP2" s="187"/>
    </row>
    <row r="3" spans="1:78" ht="12.75" customHeight="1" thickBot="1">
      <c r="A3" s="8" t="s">
        <v>61</v>
      </c>
      <c r="B3" s="17">
        <f>C3+F69</f>
        <v>2920091.46</v>
      </c>
      <c r="C3" s="10">
        <f>Y68+AC68+AG68+AK68+AO68+AS68+AW68+BA68+BE68+BI68+BM68+BQ68+X68+AB68+AF68+AJ68+AN68+AR68+AV68+AZ68+BD68+BH68+BL68+BP68</f>
        <v>2558748.46</v>
      </c>
      <c r="D3" s="475" t="s">
        <v>62</v>
      </c>
      <c r="E3" s="523"/>
      <c r="F3" s="11"/>
      <c r="G3" s="11"/>
      <c r="H3" s="11"/>
      <c r="I3" s="11"/>
      <c r="J3" s="12"/>
      <c r="K3" s="10"/>
      <c r="L3" s="10"/>
      <c r="M3" s="478"/>
      <c r="N3" s="523"/>
      <c r="O3" s="523"/>
      <c r="P3" s="523"/>
      <c r="Q3" s="523"/>
      <c r="R3" s="523"/>
      <c r="S3" s="523"/>
      <c r="T3" s="523"/>
      <c r="U3" s="523"/>
      <c r="V3" s="523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 t="s">
        <v>63</v>
      </c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5"/>
    </row>
    <row r="4" spans="1:78" ht="12.75" customHeight="1" thickBot="1">
      <c r="A4" s="17">
        <f>H68-A2</f>
        <v>205536.4299999997</v>
      </c>
      <c r="B4" s="19"/>
      <c r="C4" s="10"/>
      <c r="D4" s="19"/>
      <c r="E4" s="19"/>
      <c r="F4" s="11"/>
      <c r="G4" s="11"/>
      <c r="H4" s="11"/>
      <c r="I4" s="11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473">
        <v>46023</v>
      </c>
      <c r="W4" s="526"/>
      <c r="X4" s="526"/>
      <c r="Y4" s="527"/>
      <c r="Z4" s="479">
        <v>46054</v>
      </c>
      <c r="AA4" s="526"/>
      <c r="AB4" s="526"/>
      <c r="AC4" s="527"/>
      <c r="AD4" s="473">
        <v>46082</v>
      </c>
      <c r="AE4" s="526"/>
      <c r="AF4" s="526"/>
      <c r="AG4" s="527"/>
      <c r="AH4" s="473">
        <v>46113</v>
      </c>
      <c r="AI4" s="526"/>
      <c r="AJ4" s="526"/>
      <c r="AK4" s="527"/>
      <c r="AL4" s="479">
        <v>46143</v>
      </c>
      <c r="AM4" s="526"/>
      <c r="AN4" s="526"/>
      <c r="AO4" s="527"/>
      <c r="AP4" s="479">
        <v>46174</v>
      </c>
      <c r="AQ4" s="526"/>
      <c r="AR4" s="526"/>
      <c r="AS4" s="527"/>
      <c r="AT4" s="479">
        <v>46204</v>
      </c>
      <c r="AU4" s="526"/>
      <c r="AV4" s="526"/>
      <c r="AW4" s="527"/>
      <c r="AX4" s="479">
        <v>46235</v>
      </c>
      <c r="AY4" s="526"/>
      <c r="AZ4" s="526"/>
      <c r="BA4" s="527"/>
      <c r="BB4" s="479">
        <v>46266</v>
      </c>
      <c r="BC4" s="526"/>
      <c r="BD4" s="526"/>
      <c r="BE4" s="527"/>
      <c r="BF4" s="479">
        <v>46296</v>
      </c>
      <c r="BG4" s="526"/>
      <c r="BH4" s="526"/>
      <c r="BI4" s="527"/>
      <c r="BJ4" s="479">
        <v>46327</v>
      </c>
      <c r="BK4" s="526"/>
      <c r="BL4" s="526"/>
      <c r="BM4" s="527"/>
      <c r="BN4" s="479">
        <v>46357</v>
      </c>
      <c r="BO4" s="526"/>
      <c r="BP4" s="526"/>
      <c r="BQ4" s="527"/>
    </row>
    <row r="5" spans="1:78" ht="12.75" customHeight="1" thickBot="1">
      <c r="A5" s="17"/>
      <c r="B5" s="19"/>
      <c r="C5" s="10"/>
      <c r="D5" s="19"/>
      <c r="E5" s="19"/>
      <c r="F5" s="11"/>
      <c r="G5" s="11"/>
      <c r="H5" s="11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365"/>
      <c r="W5" s="366"/>
      <c r="X5" s="366"/>
      <c r="Y5" s="367"/>
      <c r="Z5" s="368"/>
      <c r="AA5" s="363"/>
      <c r="AB5" s="363"/>
      <c r="AC5" s="364"/>
      <c r="AD5" s="369"/>
      <c r="AE5" s="363"/>
      <c r="AF5" s="363"/>
      <c r="AG5" s="364"/>
      <c r="AH5" s="369"/>
      <c r="AI5" s="363"/>
      <c r="AJ5" s="363"/>
      <c r="AK5" s="364"/>
      <c r="AL5" s="368"/>
      <c r="AM5" s="363"/>
      <c r="AN5" s="363"/>
      <c r="AO5" s="364"/>
      <c r="AP5" s="368"/>
      <c r="AQ5" s="363"/>
      <c r="AR5" s="363"/>
      <c r="AS5" s="364"/>
      <c r="AT5" s="368"/>
      <c r="AU5" s="363"/>
      <c r="AV5" s="363"/>
      <c r="AW5" s="364"/>
      <c r="AX5" s="368"/>
      <c r="AY5" s="363"/>
      <c r="AZ5" s="363"/>
      <c r="BA5" s="364"/>
      <c r="BB5" s="368"/>
      <c r="BC5" s="363"/>
      <c r="BD5" s="363"/>
      <c r="BE5" s="364"/>
      <c r="BF5" s="368"/>
      <c r="BG5" s="363"/>
      <c r="BH5" s="363"/>
      <c r="BI5" s="364"/>
      <c r="BJ5" s="368"/>
      <c r="BK5" s="363"/>
      <c r="BL5" s="363"/>
      <c r="BM5" s="364"/>
      <c r="BN5" s="368"/>
      <c r="BO5" s="363"/>
      <c r="BP5" s="363"/>
      <c r="BQ5" s="364"/>
    </row>
    <row r="6" spans="1:78" ht="63" customHeight="1" thickBot="1">
      <c r="A6" s="20" t="s">
        <v>64</v>
      </c>
      <c r="B6" s="158" t="s">
        <v>65</v>
      </c>
      <c r="C6" s="20" t="s">
        <v>66</v>
      </c>
      <c r="D6" s="20" t="s">
        <v>67</v>
      </c>
      <c r="E6" s="20" t="s">
        <v>68</v>
      </c>
      <c r="F6" s="20" t="s">
        <v>69</v>
      </c>
      <c r="G6" s="20" t="s">
        <v>70</v>
      </c>
      <c r="H6" s="169" t="s">
        <v>71</v>
      </c>
      <c r="I6" s="194" t="s">
        <v>72</v>
      </c>
      <c r="J6" s="171" t="s">
        <v>73</v>
      </c>
      <c r="K6" s="22" t="s">
        <v>74</v>
      </c>
      <c r="L6" s="169" t="s">
        <v>75</v>
      </c>
      <c r="M6" s="21" t="s">
        <v>76</v>
      </c>
      <c r="N6" s="21" t="s">
        <v>77</v>
      </c>
      <c r="O6" s="23" t="s">
        <v>78</v>
      </c>
      <c r="P6" s="24" t="s">
        <v>79</v>
      </c>
      <c r="Q6" s="24" t="s">
        <v>80</v>
      </c>
      <c r="R6" s="24" t="s">
        <v>81</v>
      </c>
      <c r="S6" s="24" t="s">
        <v>82</v>
      </c>
      <c r="T6" s="24" t="s">
        <v>83</v>
      </c>
      <c r="U6" s="24" t="s">
        <v>84</v>
      </c>
      <c r="V6" s="25" t="s">
        <v>85</v>
      </c>
      <c r="W6" s="26" t="s">
        <v>86</v>
      </c>
      <c r="X6" s="26" t="s">
        <v>87</v>
      </c>
      <c r="Y6" s="27" t="s">
        <v>88</v>
      </c>
      <c r="Z6" s="28" t="s">
        <v>85</v>
      </c>
      <c r="AA6" s="29" t="s">
        <v>86</v>
      </c>
      <c r="AB6" s="28" t="s">
        <v>87</v>
      </c>
      <c r="AC6" s="30" t="s">
        <v>88</v>
      </c>
      <c r="AD6" s="28" t="s">
        <v>85</v>
      </c>
      <c r="AE6" s="29" t="s">
        <v>86</v>
      </c>
      <c r="AF6" s="28" t="s">
        <v>87</v>
      </c>
      <c r="AG6" s="30" t="s">
        <v>88</v>
      </c>
      <c r="AH6" s="28" t="s">
        <v>85</v>
      </c>
      <c r="AI6" s="29" t="s">
        <v>89</v>
      </c>
      <c r="AJ6" s="28" t="s">
        <v>87</v>
      </c>
      <c r="AK6" s="30" t="s">
        <v>88</v>
      </c>
      <c r="AL6" s="28" t="s">
        <v>85</v>
      </c>
      <c r="AM6" s="29" t="s">
        <v>86</v>
      </c>
      <c r="AN6" s="28" t="s">
        <v>87</v>
      </c>
      <c r="AO6" s="30" t="s">
        <v>88</v>
      </c>
      <c r="AP6" s="28" t="s">
        <v>85</v>
      </c>
      <c r="AQ6" s="29" t="s">
        <v>86</v>
      </c>
      <c r="AR6" s="28" t="s">
        <v>87</v>
      </c>
      <c r="AS6" s="30" t="s">
        <v>88</v>
      </c>
      <c r="AT6" s="28" t="s">
        <v>85</v>
      </c>
      <c r="AU6" s="29" t="s">
        <v>86</v>
      </c>
      <c r="AV6" s="28" t="s">
        <v>87</v>
      </c>
      <c r="AW6" s="30" t="s">
        <v>88</v>
      </c>
      <c r="AX6" s="28" t="s">
        <v>85</v>
      </c>
      <c r="AY6" s="29" t="s">
        <v>86</v>
      </c>
      <c r="AZ6" s="28" t="s">
        <v>87</v>
      </c>
      <c r="BA6" s="30" t="s">
        <v>88</v>
      </c>
      <c r="BB6" s="28" t="s">
        <v>85</v>
      </c>
      <c r="BC6" s="29" t="s">
        <v>86</v>
      </c>
      <c r="BD6" s="28" t="s">
        <v>87</v>
      </c>
      <c r="BE6" s="30" t="s">
        <v>88</v>
      </c>
      <c r="BF6" s="28" t="s">
        <v>85</v>
      </c>
      <c r="BG6" s="29" t="s">
        <v>86</v>
      </c>
      <c r="BH6" s="28" t="s">
        <v>87</v>
      </c>
      <c r="BI6" s="30" t="s">
        <v>88</v>
      </c>
      <c r="BJ6" s="28" t="s">
        <v>85</v>
      </c>
      <c r="BK6" s="29" t="s">
        <v>86</v>
      </c>
      <c r="BL6" s="28" t="s">
        <v>87</v>
      </c>
      <c r="BM6" s="30" t="s">
        <v>88</v>
      </c>
      <c r="BN6" s="28" t="s">
        <v>85</v>
      </c>
      <c r="BO6" s="29" t="s">
        <v>86</v>
      </c>
      <c r="BP6" s="28" t="s">
        <v>87</v>
      </c>
      <c r="BQ6" s="30" t="s">
        <v>88</v>
      </c>
      <c r="BR6" s="28" t="s">
        <v>90</v>
      </c>
      <c r="BS6" s="21" t="s">
        <v>91</v>
      </c>
      <c r="BT6" s="21" t="s">
        <v>92</v>
      </c>
      <c r="BU6" s="21" t="s">
        <v>93</v>
      </c>
      <c r="BV6" s="21" t="s">
        <v>94</v>
      </c>
      <c r="BW6" s="21" t="s">
        <v>95</v>
      </c>
      <c r="BX6" s="21" t="s">
        <v>96</v>
      </c>
      <c r="BY6" s="21" t="s">
        <v>97</v>
      </c>
      <c r="BZ6" s="21" t="s">
        <v>98</v>
      </c>
    </row>
    <row r="7" spans="1:78" s="227" customFormat="1" ht="16.149999999999999" thickBot="1">
      <c r="A7" s="31" t="s">
        <v>99</v>
      </c>
      <c r="B7" s="210" t="s">
        <v>100</v>
      </c>
      <c r="C7" s="211" t="s">
        <v>101</v>
      </c>
      <c r="D7" s="211" t="s">
        <v>102</v>
      </c>
      <c r="E7" s="211" t="s">
        <v>103</v>
      </c>
      <c r="F7" s="212">
        <v>736961</v>
      </c>
      <c r="G7" s="213">
        <v>44562</v>
      </c>
      <c r="H7" s="224">
        <f t="shared" ref="H7:H21" si="0">F7-I7-J7-Y7-AC7-AG7-AK7-AO7-AS7-AW7-BA7-BE7-BI7-BM7-BQ7</f>
        <v>77210</v>
      </c>
      <c r="I7" s="195">
        <f t="shared" ref="I7:I21" si="1">K7+X7+AB7+AF7+AJ7+AN7+AR7+AV7+AZ7+BD7+BH7+BL7+BP7</f>
        <v>200000</v>
      </c>
      <c r="J7" s="199">
        <v>459751</v>
      </c>
      <c r="K7" s="225">
        <v>200000</v>
      </c>
      <c r="L7" s="226"/>
      <c r="M7" s="214">
        <f t="shared" ref="M7:M21" si="2">IF(F7=0,0,(J7+K7)/F7)</f>
        <v>0.8952319050804588</v>
      </c>
      <c r="N7" s="211" t="s">
        <v>104</v>
      </c>
      <c r="O7" s="215">
        <v>200000</v>
      </c>
      <c r="P7" s="215">
        <v>50000</v>
      </c>
      <c r="Q7" s="215">
        <v>1000</v>
      </c>
      <c r="R7" s="215">
        <v>120</v>
      </c>
      <c r="S7" s="215">
        <f t="shared" ref="S7:S20" si="3">(L7*R7)+(Q7*R7)</f>
        <v>120000</v>
      </c>
      <c r="T7" s="212">
        <f t="shared" ref="T7:T21" si="4">F7-O7-P7-S7</f>
        <v>366961</v>
      </c>
      <c r="U7" s="216">
        <f t="shared" ref="U7:U21" si="5">IF(F7=0,"",(T7/F7))</f>
        <v>0.49793815412213127</v>
      </c>
      <c r="V7" s="217">
        <f t="shared" ref="V7:V21" si="6" xml:space="preserve"> IF(F7=0,"",(W7/F7))</f>
        <v>0.13569239077780235</v>
      </c>
      <c r="W7" s="41">
        <v>100000</v>
      </c>
      <c r="X7" s="218"/>
      <c r="Y7" s="219"/>
      <c r="Z7" s="217">
        <f t="shared" ref="Z7:Z21" si="7" xml:space="preserve"> IF(F7=0,"",(AA7/F7))</f>
        <v>6.7846195388901173E-2</v>
      </c>
      <c r="AA7" s="41">
        <v>50000</v>
      </c>
      <c r="AB7" s="218"/>
      <c r="AC7" s="219"/>
      <c r="AD7" s="217">
        <f t="shared" ref="AD7:AD15" si="8" xml:space="preserve"> IF(F7=0,"",(AE7/F7))</f>
        <v>0</v>
      </c>
      <c r="AE7" s="14"/>
      <c r="AF7" s="218"/>
      <c r="AG7" s="219"/>
      <c r="AH7" s="217">
        <f t="shared" ref="AH7:AH21" si="9" xml:space="preserve"> IF(F7=0, "", (AI7/F7))</f>
        <v>0</v>
      </c>
      <c r="AI7" s="41"/>
      <c r="AJ7" s="218"/>
      <c r="AK7" s="219"/>
      <c r="AL7" s="217">
        <f t="shared" ref="AL7:AL21" si="10" xml:space="preserve"> IF(F7=0,"",(AM7/F7))</f>
        <v>0.16310225371491843</v>
      </c>
      <c r="AM7" s="41">
        <v>120200</v>
      </c>
      <c r="AN7" s="218"/>
      <c r="AO7" s="228"/>
      <c r="AP7" s="217">
        <f t="shared" ref="AP7:AP21" si="11" xml:space="preserve"> IF(F7=0,"",(AQ7/F7))</f>
        <v>0</v>
      </c>
      <c r="AQ7" s="41"/>
      <c r="AR7" s="185"/>
      <c r="AS7" s="123"/>
      <c r="AT7" s="217">
        <f t="shared" ref="AT7:AT21" si="12" xml:space="preserve"> IF(F7=0,"",(AU7/F7))</f>
        <v>0</v>
      </c>
      <c r="AU7" s="41"/>
      <c r="AV7" s="185"/>
      <c r="AW7" s="123"/>
      <c r="AX7" s="217">
        <f t="shared" ref="AX7:AX21" si="13" xml:space="preserve"> IF(F7=0,"",(AY7/F7))</f>
        <v>0</v>
      </c>
      <c r="AY7" s="41"/>
      <c r="AZ7" s="218"/>
      <c r="BA7" s="219"/>
      <c r="BB7" s="217">
        <f t="shared" ref="BB7:BB21" si="14" xml:space="preserve"> IF(F7=0,"",(BC7/F7))</f>
        <v>0</v>
      </c>
      <c r="BC7" s="41"/>
      <c r="BD7" s="218"/>
      <c r="BE7" s="219"/>
      <c r="BF7" s="217">
        <f t="shared" ref="BF7:BF21" si="15" xml:space="preserve"> IF(F7=0,"",(BG7/F7))</f>
        <v>0</v>
      </c>
      <c r="BG7" s="41"/>
      <c r="BH7" s="218"/>
      <c r="BI7" s="219"/>
      <c r="BJ7" s="217">
        <f t="shared" ref="BJ7:BJ21" si="16" xml:space="preserve"> IF(F7=0,"",(BK7/F7))</f>
        <v>0</v>
      </c>
      <c r="BK7" s="41"/>
      <c r="BL7" s="124"/>
      <c r="BM7" s="219"/>
      <c r="BN7" s="217">
        <f t="shared" ref="BN7:BN21" si="17" xml:space="preserve"> IF(F7=0,"",(BO7/F7))</f>
        <v>0</v>
      </c>
      <c r="BO7" s="41"/>
      <c r="BP7" s="218"/>
      <c r="BQ7" s="219"/>
      <c r="BR7" s="221">
        <f t="shared" ref="BR7:BR21" si="18">IF(F7=0, "",1-((J7+K7+X7+Y7+AB7+AC7+AF7+AG7+AJ7+AK7+AN7+AO7+AR7+AS7+AV7+AW7+AZ7+BA7+BD7+BE7+BH7+BI7+BL7+BM7+BP7+BQ7)/F7))</f>
        <v>0.1047680949195412</v>
      </c>
      <c r="BS7" s="222">
        <f>F7-BT7-J7-K7</f>
        <v>-192990</v>
      </c>
      <c r="BT7" s="222">
        <f t="shared" ref="BT7:BT14" si="19">W7+AA7+AE7+AI7+AM7+AQ7+AU7+AY7+BC7+BG7+BK7+BO7</f>
        <v>270200</v>
      </c>
      <c r="BU7" s="222">
        <f t="shared" ref="BU7:BU21" si="20">(X7+Y7+AB7+AC7+AF7+AG7+AJ7+AK7+AN7+AO7+AR7+AS7+AV7+AW7+AZ7+BA7+BD7+BE7+BH7+BI7+BL7+BM7+BP7+BQ7)</f>
        <v>0</v>
      </c>
      <c r="BV7" s="223">
        <f t="shared" ref="BV7:BV21" si="21">BT7-BU7</f>
        <v>270200</v>
      </c>
      <c r="BW7" s="221">
        <f t="shared" ref="BW7:BW21" si="22">IF(BT7=0,"",(BU7) / BT7)</f>
        <v>0</v>
      </c>
      <c r="BX7" s="223">
        <f t="shared" ref="BX7:BX21" si="23">BY7+BZ7</f>
        <v>659751</v>
      </c>
      <c r="BY7" s="223">
        <f t="shared" ref="BY7:BY21" si="24">J7+Y7+AC7+AG7+AK7+AO7+AS7+AW7+BA7+BE7+BI7+BM7+BQ7</f>
        <v>459751</v>
      </c>
      <c r="BZ7" s="360">
        <f t="shared" ref="BZ7:BZ21" si="25">K7+X7+AB7+AF7+AJ7+AN7+AR7+AV7+AZ7+BD7+BH7+BL7+BP7</f>
        <v>200000</v>
      </c>
    </row>
    <row r="8" spans="1:78" ht="15.6">
      <c r="A8" s="31" t="s">
        <v>105</v>
      </c>
      <c r="B8" s="157" t="s">
        <v>106</v>
      </c>
      <c r="C8" s="120" t="s">
        <v>107</v>
      </c>
      <c r="D8" s="120" t="s">
        <v>108</v>
      </c>
      <c r="E8" s="120" t="s">
        <v>109</v>
      </c>
      <c r="F8" s="121">
        <v>275000</v>
      </c>
      <c r="G8" s="125">
        <v>44682</v>
      </c>
      <c r="H8" s="196">
        <v>99000</v>
      </c>
      <c r="I8" s="195">
        <f t="shared" si="1"/>
        <v>54000</v>
      </c>
      <c r="J8" s="199">
        <v>176000</v>
      </c>
      <c r="K8" s="198">
        <v>40000</v>
      </c>
      <c r="L8" s="170"/>
      <c r="M8" s="33">
        <f t="shared" si="2"/>
        <v>0.78545454545454541</v>
      </c>
      <c r="N8" s="120" t="s">
        <v>104</v>
      </c>
      <c r="O8" s="34">
        <v>0</v>
      </c>
      <c r="P8" s="34">
        <v>0</v>
      </c>
      <c r="Q8" s="34"/>
      <c r="R8" s="34"/>
      <c r="S8" s="34">
        <f t="shared" si="3"/>
        <v>0</v>
      </c>
      <c r="T8" s="121">
        <f t="shared" si="4"/>
        <v>275000</v>
      </c>
      <c r="U8" s="35">
        <f t="shared" si="5"/>
        <v>1</v>
      </c>
      <c r="V8" s="40">
        <f t="shared" si="6"/>
        <v>9.4545454545454544E-2</v>
      </c>
      <c r="W8" s="32">
        <v>26000</v>
      </c>
      <c r="X8" s="124">
        <v>14000</v>
      </c>
      <c r="Y8" s="36">
        <v>26000</v>
      </c>
      <c r="Z8" s="40">
        <f t="shared" si="7"/>
        <v>0</v>
      </c>
      <c r="AA8" s="32"/>
      <c r="AB8" s="124"/>
      <c r="AC8" s="36"/>
      <c r="AD8" s="40">
        <f t="shared" si="8"/>
        <v>0</v>
      </c>
      <c r="AE8" s="32"/>
      <c r="AF8" s="124"/>
      <c r="AG8" s="36"/>
      <c r="AH8" s="40">
        <f t="shared" si="9"/>
        <v>0</v>
      </c>
      <c r="AI8" s="41"/>
      <c r="AJ8" s="124"/>
      <c r="AK8" s="36"/>
      <c r="AL8" s="40">
        <f t="shared" si="10"/>
        <v>0</v>
      </c>
      <c r="AM8" s="32"/>
      <c r="AN8" s="124"/>
      <c r="AO8" s="228"/>
      <c r="AP8" s="40">
        <f t="shared" si="11"/>
        <v>0.28363636363636363</v>
      </c>
      <c r="AQ8" s="32">
        <v>78000</v>
      </c>
      <c r="AR8" s="124"/>
      <c r="AS8" s="122"/>
      <c r="AT8" s="40">
        <f t="shared" si="12"/>
        <v>0</v>
      </c>
      <c r="AU8" s="41"/>
      <c r="AV8" s="124"/>
      <c r="AW8" s="36"/>
      <c r="AX8" s="40">
        <f t="shared" si="13"/>
        <v>0</v>
      </c>
      <c r="AY8" s="42"/>
      <c r="AZ8" s="124"/>
      <c r="BA8" s="36"/>
      <c r="BB8" s="40">
        <f t="shared" si="14"/>
        <v>0</v>
      </c>
      <c r="BC8" s="42"/>
      <c r="BD8" s="124"/>
      <c r="BE8" s="43"/>
      <c r="BF8" s="40">
        <f t="shared" si="15"/>
        <v>0</v>
      </c>
      <c r="BG8" s="32"/>
      <c r="BH8" s="124"/>
      <c r="BI8" s="36"/>
      <c r="BJ8" s="40">
        <f t="shared" si="16"/>
        <v>0</v>
      </c>
      <c r="BK8" s="32"/>
      <c r="BL8" s="124"/>
      <c r="BM8" s="36"/>
      <c r="BN8" s="40">
        <f t="shared" si="17"/>
        <v>0</v>
      </c>
      <c r="BO8" s="32"/>
      <c r="BP8" s="124"/>
      <c r="BQ8" s="36"/>
      <c r="BR8" s="37">
        <f t="shared" si="18"/>
        <v>6.9090909090909092E-2</v>
      </c>
      <c r="BS8" s="38">
        <f t="shared" ref="BS8:BS21" si="26">F8-BT8-J8-K8</f>
        <v>-45000</v>
      </c>
      <c r="BT8" s="38">
        <f t="shared" si="19"/>
        <v>104000</v>
      </c>
      <c r="BU8" s="38">
        <f t="shared" si="20"/>
        <v>40000</v>
      </c>
      <c r="BV8" s="39">
        <f t="shared" si="21"/>
        <v>64000</v>
      </c>
      <c r="BW8" s="37">
        <f t="shared" si="22"/>
        <v>0.38461538461538464</v>
      </c>
      <c r="BX8" s="39">
        <f t="shared" si="23"/>
        <v>256000</v>
      </c>
      <c r="BY8" s="223">
        <f t="shared" si="24"/>
        <v>202000</v>
      </c>
      <c r="BZ8" s="352">
        <f t="shared" si="25"/>
        <v>54000</v>
      </c>
    </row>
    <row r="9" spans="1:78" s="209" customFormat="1" ht="16.149999999999999" thickBot="1">
      <c r="A9" s="31" t="s">
        <v>110</v>
      </c>
      <c r="B9" s="229" t="s">
        <v>111</v>
      </c>
      <c r="C9" s="230" t="s">
        <v>112</v>
      </c>
      <c r="D9" s="230" t="s">
        <v>108</v>
      </c>
      <c r="E9" s="230" t="s">
        <v>109</v>
      </c>
      <c r="F9" s="231">
        <v>84000</v>
      </c>
      <c r="G9" s="232">
        <v>44682</v>
      </c>
      <c r="H9" s="233">
        <f t="shared" si="0"/>
        <v>59000</v>
      </c>
      <c r="I9" s="234">
        <f t="shared" si="1"/>
        <v>0</v>
      </c>
      <c r="J9" s="235">
        <v>25000</v>
      </c>
      <c r="K9" s="236">
        <v>0</v>
      </c>
      <c r="L9" s="237"/>
      <c r="M9" s="238">
        <f t="shared" si="2"/>
        <v>0.29761904761904762</v>
      </c>
      <c r="N9" s="230" t="s">
        <v>104</v>
      </c>
      <c r="O9" s="239">
        <v>0</v>
      </c>
      <c r="P9" s="239">
        <v>0</v>
      </c>
      <c r="Q9" s="239"/>
      <c r="R9" s="239"/>
      <c r="S9" s="239">
        <f t="shared" si="3"/>
        <v>0</v>
      </c>
      <c r="T9" s="231">
        <f t="shared" si="4"/>
        <v>84000</v>
      </c>
      <c r="U9" s="240">
        <f t="shared" si="5"/>
        <v>1</v>
      </c>
      <c r="V9" s="241">
        <f t="shared" si="6"/>
        <v>0</v>
      </c>
      <c r="W9" s="242"/>
      <c r="X9" s="243"/>
      <c r="Y9" s="130"/>
      <c r="Z9" s="241">
        <f t="shared" si="7"/>
        <v>0</v>
      </c>
      <c r="AA9" s="242"/>
      <c r="AB9" s="243"/>
      <c r="AC9" s="130"/>
      <c r="AD9" s="241">
        <f t="shared" si="8"/>
        <v>0</v>
      </c>
      <c r="AE9" s="242"/>
      <c r="AF9" s="243"/>
      <c r="AG9" s="130"/>
      <c r="AH9" s="241">
        <f t="shared" si="9"/>
        <v>0</v>
      </c>
      <c r="AI9" s="242"/>
      <c r="AJ9" s="243"/>
      <c r="AK9" s="130"/>
      <c r="AL9" s="241">
        <f t="shared" si="10"/>
        <v>0</v>
      </c>
      <c r="AM9" s="242"/>
      <c r="AN9" s="243"/>
      <c r="AO9" s="228"/>
      <c r="AP9" s="241">
        <f t="shared" si="11"/>
        <v>0.5714285714285714</v>
      </c>
      <c r="AQ9" s="242">
        <v>48000</v>
      </c>
      <c r="AR9" s="124"/>
      <c r="AS9" s="123"/>
      <c r="AT9" s="241">
        <f t="shared" si="12"/>
        <v>0</v>
      </c>
      <c r="AU9" s="242"/>
      <c r="AV9" s="243"/>
      <c r="AW9" s="130"/>
      <c r="AX9" s="241">
        <f t="shared" si="13"/>
        <v>0</v>
      </c>
      <c r="AY9" s="242"/>
      <c r="AZ9" s="243"/>
      <c r="BA9" s="130"/>
      <c r="BB9" s="241">
        <f t="shared" si="14"/>
        <v>0</v>
      </c>
      <c r="BC9" s="242"/>
      <c r="BD9" s="243"/>
      <c r="BE9" s="130"/>
      <c r="BF9" s="241">
        <f t="shared" si="15"/>
        <v>0</v>
      </c>
      <c r="BG9" s="242"/>
      <c r="BH9" s="243"/>
      <c r="BI9" s="130"/>
      <c r="BJ9" s="241">
        <f t="shared" si="16"/>
        <v>0</v>
      </c>
      <c r="BK9" s="242"/>
      <c r="BL9" s="243"/>
      <c r="BM9" s="130"/>
      <c r="BN9" s="241">
        <f t="shared" si="17"/>
        <v>0</v>
      </c>
      <c r="BO9" s="242"/>
      <c r="BP9" s="243"/>
      <c r="BQ9" s="130"/>
      <c r="BR9" s="244">
        <f t="shared" si="18"/>
        <v>0.70238095238095233</v>
      </c>
      <c r="BS9" s="245">
        <f t="shared" si="26"/>
        <v>11000</v>
      </c>
      <c r="BT9" s="245">
        <f t="shared" si="19"/>
        <v>48000</v>
      </c>
      <c r="BU9" s="245">
        <f t="shared" si="20"/>
        <v>0</v>
      </c>
      <c r="BV9" s="246">
        <f t="shared" si="21"/>
        <v>48000</v>
      </c>
      <c r="BW9" s="244">
        <f t="shared" si="22"/>
        <v>0</v>
      </c>
      <c r="BX9" s="246">
        <f t="shared" si="23"/>
        <v>25000</v>
      </c>
      <c r="BY9" s="223">
        <f t="shared" si="24"/>
        <v>25000</v>
      </c>
      <c r="BZ9" s="246">
        <f t="shared" si="25"/>
        <v>0</v>
      </c>
    </row>
    <row r="10" spans="1:78" ht="15.6">
      <c r="A10" s="31" t="s">
        <v>113</v>
      </c>
      <c r="B10" s="210" t="s">
        <v>114</v>
      </c>
      <c r="C10" s="211" t="s">
        <v>112</v>
      </c>
      <c r="D10" s="211" t="s">
        <v>102</v>
      </c>
      <c r="E10" s="211" t="s">
        <v>109</v>
      </c>
      <c r="F10" s="212">
        <v>170000</v>
      </c>
      <c r="G10" s="213">
        <v>44958</v>
      </c>
      <c r="H10" s="196">
        <f t="shared" si="0"/>
        <v>31900</v>
      </c>
      <c r="I10" s="195">
        <f t="shared" si="1"/>
        <v>0</v>
      </c>
      <c r="J10" s="199">
        <v>40320</v>
      </c>
      <c r="K10" s="198">
        <v>0</v>
      </c>
      <c r="L10" s="186"/>
      <c r="M10" s="214">
        <f t="shared" si="2"/>
        <v>0.23717647058823529</v>
      </c>
      <c r="N10" s="211" t="s">
        <v>104</v>
      </c>
      <c r="O10" s="215">
        <v>0</v>
      </c>
      <c r="P10" s="215">
        <v>0</v>
      </c>
      <c r="Q10" s="215"/>
      <c r="R10" s="215"/>
      <c r="S10" s="215">
        <f t="shared" si="3"/>
        <v>0</v>
      </c>
      <c r="T10" s="212">
        <f t="shared" si="4"/>
        <v>170000</v>
      </c>
      <c r="U10" s="216">
        <f t="shared" si="5"/>
        <v>1</v>
      </c>
      <c r="V10" s="217">
        <f t="shared" si="6"/>
        <v>0.17323529411764707</v>
      </c>
      <c r="W10" s="41">
        <v>29450</v>
      </c>
      <c r="X10" s="218"/>
      <c r="Y10" s="219">
        <v>29450</v>
      </c>
      <c r="Z10" s="217">
        <f t="shared" si="7"/>
        <v>0.36208823529411766</v>
      </c>
      <c r="AA10" s="41">
        <v>61555</v>
      </c>
      <c r="AB10" s="218"/>
      <c r="AC10" s="219"/>
      <c r="AD10" s="217">
        <f t="shared" si="8"/>
        <v>0.40194117647058825</v>
      </c>
      <c r="AE10" s="41">
        <v>68330</v>
      </c>
      <c r="AF10" s="218"/>
      <c r="AG10" s="219">
        <v>68330</v>
      </c>
      <c r="AH10" s="217">
        <f t="shared" si="9"/>
        <v>0</v>
      </c>
      <c r="AI10" s="41"/>
      <c r="AJ10" s="218"/>
      <c r="AK10" s="219"/>
      <c r="AL10" s="217">
        <f t="shared" si="10"/>
        <v>0.18764705882352942</v>
      </c>
      <c r="AM10" s="41">
        <v>31900</v>
      </c>
      <c r="AN10" s="218"/>
      <c r="AO10" s="228"/>
      <c r="AP10" s="217">
        <f t="shared" si="11"/>
        <v>0</v>
      </c>
      <c r="AQ10" s="41"/>
      <c r="AR10" s="218"/>
      <c r="AS10" s="220"/>
      <c r="AT10" s="217">
        <f t="shared" si="12"/>
        <v>0</v>
      </c>
      <c r="AU10" s="41"/>
      <c r="AV10" s="218"/>
      <c r="AW10" s="36"/>
      <c r="AX10" s="217">
        <f t="shared" si="13"/>
        <v>0</v>
      </c>
      <c r="AY10" s="41"/>
      <c r="AZ10" s="218"/>
      <c r="BA10" s="219"/>
      <c r="BB10" s="217">
        <f t="shared" si="14"/>
        <v>0</v>
      </c>
      <c r="BC10" s="41"/>
      <c r="BD10" s="218"/>
      <c r="BE10" s="219"/>
      <c r="BF10" s="217">
        <f t="shared" si="15"/>
        <v>0</v>
      </c>
      <c r="BG10" s="41"/>
      <c r="BH10" s="218"/>
      <c r="BI10" s="219"/>
      <c r="BJ10" s="217">
        <f t="shared" si="16"/>
        <v>0</v>
      </c>
      <c r="BK10" s="41"/>
      <c r="BL10" s="218"/>
      <c r="BM10" s="219"/>
      <c r="BN10" s="217">
        <f t="shared" si="17"/>
        <v>0</v>
      </c>
      <c r="BO10" s="41"/>
      <c r="BP10" s="218"/>
      <c r="BQ10" s="219"/>
      <c r="BR10" s="221">
        <f t="shared" si="18"/>
        <v>0.18764705882352939</v>
      </c>
      <c r="BS10" s="222">
        <f t="shared" si="26"/>
        <v>-61555</v>
      </c>
      <c r="BT10" s="222">
        <f t="shared" si="19"/>
        <v>191235</v>
      </c>
      <c r="BU10" s="222">
        <f t="shared" si="20"/>
        <v>97780</v>
      </c>
      <c r="BV10" s="223">
        <f t="shared" si="21"/>
        <v>93455</v>
      </c>
      <c r="BW10" s="221">
        <f t="shared" si="22"/>
        <v>0.51130807645044052</v>
      </c>
      <c r="BX10" s="223">
        <f t="shared" si="23"/>
        <v>138100</v>
      </c>
      <c r="BY10" s="223">
        <f t="shared" si="24"/>
        <v>138100</v>
      </c>
      <c r="BZ10" s="223">
        <f t="shared" si="25"/>
        <v>0</v>
      </c>
    </row>
    <row r="11" spans="1:78" ht="16.149999999999999" thickBot="1">
      <c r="A11" s="31" t="s">
        <v>115</v>
      </c>
      <c r="B11" s="157" t="s">
        <v>116</v>
      </c>
      <c r="C11" s="120" t="s">
        <v>117</v>
      </c>
      <c r="D11" s="120" t="s">
        <v>102</v>
      </c>
      <c r="E11" s="120" t="s">
        <v>109</v>
      </c>
      <c r="F11" s="121">
        <v>449372.54</v>
      </c>
      <c r="G11" s="125">
        <v>45108</v>
      </c>
      <c r="H11" s="196">
        <v>31382.81</v>
      </c>
      <c r="I11" s="195">
        <f t="shared" si="1"/>
        <v>3513</v>
      </c>
      <c r="J11" s="199">
        <v>417989.73</v>
      </c>
      <c r="K11" s="198">
        <v>3513</v>
      </c>
      <c r="L11" s="170"/>
      <c r="M11" s="33">
        <f t="shared" si="2"/>
        <v>0.93798061181041459</v>
      </c>
      <c r="N11" s="120" t="s">
        <v>104</v>
      </c>
      <c r="O11" s="34">
        <v>0</v>
      </c>
      <c r="P11" s="34">
        <v>0</v>
      </c>
      <c r="Q11" s="34"/>
      <c r="R11" s="34"/>
      <c r="S11" s="34">
        <f t="shared" si="3"/>
        <v>0</v>
      </c>
      <c r="T11" s="121">
        <f t="shared" si="4"/>
        <v>449372.54</v>
      </c>
      <c r="U11" s="35">
        <f t="shared" si="5"/>
        <v>1</v>
      </c>
      <c r="V11" s="40">
        <f t="shared" si="6"/>
        <v>0</v>
      </c>
      <c r="W11" s="32"/>
      <c r="X11" s="124"/>
      <c r="Y11" s="36"/>
      <c r="Z11" s="40">
        <f t="shared" si="7"/>
        <v>6.983515281107297E-2</v>
      </c>
      <c r="AA11" s="32">
        <v>31382</v>
      </c>
      <c r="AB11" s="218"/>
      <c r="AC11" s="36"/>
      <c r="AD11" s="40">
        <f t="shared" si="8"/>
        <v>0</v>
      </c>
      <c r="AE11" s="32"/>
      <c r="AF11" s="124"/>
      <c r="AG11" s="36"/>
      <c r="AH11" s="40">
        <f t="shared" si="9"/>
        <v>0</v>
      </c>
      <c r="AI11" s="32"/>
      <c r="AJ11" s="124"/>
      <c r="AK11" s="36"/>
      <c r="AL11" s="40">
        <f t="shared" si="10"/>
        <v>0</v>
      </c>
      <c r="AM11" s="32"/>
      <c r="AN11" s="124"/>
      <c r="AO11" s="228"/>
      <c r="AP11" s="40">
        <f t="shared" si="11"/>
        <v>6.983515281107297E-2</v>
      </c>
      <c r="AQ11" s="32">
        <v>31382</v>
      </c>
      <c r="AR11" s="124"/>
      <c r="AS11" s="122"/>
      <c r="AT11" s="40">
        <f t="shared" si="12"/>
        <v>0</v>
      </c>
      <c r="AU11" s="41"/>
      <c r="AV11" s="124"/>
      <c r="AW11" s="36"/>
      <c r="AX11" s="40">
        <f t="shared" si="13"/>
        <v>0</v>
      </c>
      <c r="AY11" s="32"/>
      <c r="AZ11" s="124"/>
      <c r="BA11" s="36"/>
      <c r="BB11" s="40">
        <f t="shared" si="14"/>
        <v>0</v>
      </c>
      <c r="BC11" s="32"/>
      <c r="BD11" s="124"/>
      <c r="BE11" s="36"/>
      <c r="BF11" s="40">
        <f t="shared" si="15"/>
        <v>0</v>
      </c>
      <c r="BG11" s="32"/>
      <c r="BH11" s="124"/>
      <c r="BI11" s="36"/>
      <c r="BJ11" s="40">
        <f t="shared" si="16"/>
        <v>0</v>
      </c>
      <c r="BK11" s="32"/>
      <c r="BL11" s="124"/>
      <c r="BM11" s="36"/>
      <c r="BN11" s="40">
        <f t="shared" si="17"/>
        <v>0</v>
      </c>
      <c r="BO11" s="32"/>
      <c r="BP11" s="124"/>
      <c r="BQ11" s="130"/>
      <c r="BR11" s="37">
        <f t="shared" si="18"/>
        <v>6.2019388189585412E-2</v>
      </c>
      <c r="BS11" s="38">
        <f t="shared" si="26"/>
        <v>-34894.19</v>
      </c>
      <c r="BT11" s="38">
        <f t="shared" si="19"/>
        <v>62764</v>
      </c>
      <c r="BU11" s="38">
        <f t="shared" si="20"/>
        <v>0</v>
      </c>
      <c r="BV11" s="39">
        <f t="shared" si="21"/>
        <v>62764</v>
      </c>
      <c r="BW11" s="37">
        <f t="shared" si="22"/>
        <v>0</v>
      </c>
      <c r="BX11" s="39">
        <f t="shared" si="23"/>
        <v>421502.73</v>
      </c>
      <c r="BY11" s="223">
        <f t="shared" si="24"/>
        <v>417989.73</v>
      </c>
      <c r="BZ11" s="352">
        <v>3513</v>
      </c>
    </row>
    <row r="12" spans="1:78" ht="15.6">
      <c r="A12" s="31" t="s">
        <v>118</v>
      </c>
      <c r="B12" s="157" t="s">
        <v>119</v>
      </c>
      <c r="C12" s="120" t="s">
        <v>120</v>
      </c>
      <c r="D12" s="120" t="s">
        <v>121</v>
      </c>
      <c r="E12" s="120" t="s">
        <v>103</v>
      </c>
      <c r="F12" s="121">
        <v>405000</v>
      </c>
      <c r="G12" s="125">
        <v>45156</v>
      </c>
      <c r="H12" s="196">
        <f t="shared" si="0"/>
        <v>90000</v>
      </c>
      <c r="I12" s="195">
        <f t="shared" si="1"/>
        <v>121250</v>
      </c>
      <c r="J12" s="199">
        <v>193750</v>
      </c>
      <c r="K12" s="198">
        <v>0</v>
      </c>
      <c r="L12" s="170"/>
      <c r="M12" s="33">
        <f t="shared" si="2"/>
        <v>0.47839506172839508</v>
      </c>
      <c r="N12" s="120" t="s">
        <v>104</v>
      </c>
      <c r="O12" s="34">
        <v>0</v>
      </c>
      <c r="P12" s="34">
        <v>0</v>
      </c>
      <c r="Q12" s="34"/>
      <c r="R12" s="34"/>
      <c r="S12" s="34">
        <f t="shared" si="3"/>
        <v>0</v>
      </c>
      <c r="T12" s="121">
        <f t="shared" si="4"/>
        <v>405000</v>
      </c>
      <c r="U12" s="35">
        <f t="shared" si="5"/>
        <v>1</v>
      </c>
      <c r="V12" s="40">
        <f t="shared" si="6"/>
        <v>0</v>
      </c>
      <c r="W12" s="32"/>
      <c r="X12" s="124"/>
      <c r="Y12" s="36"/>
      <c r="Z12" s="40">
        <f t="shared" si="7"/>
        <v>0.22222222222222221</v>
      </c>
      <c r="AA12" s="32">
        <v>90000</v>
      </c>
      <c r="AB12" s="124"/>
      <c r="AC12" s="36"/>
      <c r="AD12" s="40">
        <f t="shared" si="8"/>
        <v>0.29938271604938271</v>
      </c>
      <c r="AE12" s="32">
        <v>121250</v>
      </c>
      <c r="AF12" s="463">
        <v>121250</v>
      </c>
      <c r="AG12" s="219"/>
      <c r="AH12" s="40">
        <f t="shared" si="9"/>
        <v>0</v>
      </c>
      <c r="AI12" s="32"/>
      <c r="AJ12" s="124"/>
      <c r="AK12" s="36"/>
      <c r="AL12" s="40">
        <f t="shared" si="10"/>
        <v>0.18765432098765433</v>
      </c>
      <c r="AM12" s="32">
        <v>76000</v>
      </c>
      <c r="AN12" s="185"/>
      <c r="AO12" s="228"/>
      <c r="AP12" s="40">
        <f t="shared" si="11"/>
        <v>0</v>
      </c>
      <c r="AQ12" s="32"/>
      <c r="AR12" s="124"/>
      <c r="AS12" s="123"/>
      <c r="AT12" s="40">
        <f t="shared" si="12"/>
        <v>0</v>
      </c>
      <c r="AU12" s="41"/>
      <c r="AV12" s="124"/>
      <c r="AW12" s="36"/>
      <c r="AX12" s="40">
        <f t="shared" si="13"/>
        <v>0</v>
      </c>
      <c r="AY12" s="32"/>
      <c r="AZ12" s="124"/>
      <c r="BA12" s="36"/>
      <c r="BB12" s="40">
        <f t="shared" si="14"/>
        <v>0</v>
      </c>
      <c r="BC12" s="32"/>
      <c r="BD12" s="124"/>
      <c r="BE12" s="36"/>
      <c r="BF12" s="40">
        <f t="shared" si="15"/>
        <v>0</v>
      </c>
      <c r="BG12" s="32"/>
      <c r="BH12" s="124"/>
      <c r="BI12" s="36"/>
      <c r="BJ12" s="40">
        <f t="shared" si="16"/>
        <v>0</v>
      </c>
      <c r="BK12" s="32"/>
      <c r="BL12" s="124"/>
      <c r="BM12" s="219"/>
      <c r="BN12" s="40">
        <f t="shared" si="17"/>
        <v>0</v>
      </c>
      <c r="BO12" s="32"/>
      <c r="BP12" s="124"/>
      <c r="BQ12" s="36"/>
      <c r="BR12" s="37">
        <f t="shared" si="18"/>
        <v>0.22222222222222221</v>
      </c>
      <c r="BS12" s="38">
        <f t="shared" si="26"/>
        <v>-76000</v>
      </c>
      <c r="BT12" s="38">
        <f t="shared" si="19"/>
        <v>287250</v>
      </c>
      <c r="BU12" s="38">
        <f t="shared" si="20"/>
        <v>121250</v>
      </c>
      <c r="BV12" s="39">
        <f t="shared" si="21"/>
        <v>166000</v>
      </c>
      <c r="BW12" s="37">
        <f t="shared" si="22"/>
        <v>0.42210617928633593</v>
      </c>
      <c r="BX12" s="39">
        <f t="shared" si="23"/>
        <v>315000</v>
      </c>
      <c r="BY12" s="223">
        <f t="shared" si="24"/>
        <v>193750</v>
      </c>
      <c r="BZ12" s="39">
        <f t="shared" si="25"/>
        <v>121250</v>
      </c>
    </row>
    <row r="13" spans="1:78" ht="15.75" customHeight="1" thickBot="1">
      <c r="A13" s="31" t="s">
        <v>122</v>
      </c>
      <c r="B13" s="157" t="s">
        <v>123</v>
      </c>
      <c r="C13" s="120" t="s">
        <v>124</v>
      </c>
      <c r="D13" s="120" t="s">
        <v>102</v>
      </c>
      <c r="E13" s="120" t="s">
        <v>125</v>
      </c>
      <c r="F13" s="121">
        <v>359349.8</v>
      </c>
      <c r="G13" s="125">
        <v>45170</v>
      </c>
      <c r="H13" s="196">
        <v>127176.83</v>
      </c>
      <c r="I13" s="195">
        <f t="shared" si="1"/>
        <v>0</v>
      </c>
      <c r="J13" s="199">
        <v>232172.97</v>
      </c>
      <c r="K13" s="198">
        <v>0</v>
      </c>
      <c r="L13" s="170"/>
      <c r="M13" s="33">
        <f t="shared" si="2"/>
        <v>0.64609183030016992</v>
      </c>
      <c r="N13" s="120" t="s">
        <v>104</v>
      </c>
      <c r="O13" s="34">
        <v>0</v>
      </c>
      <c r="P13" s="34">
        <v>0</v>
      </c>
      <c r="Q13" s="34"/>
      <c r="R13" s="34"/>
      <c r="S13" s="34">
        <f t="shared" si="3"/>
        <v>0</v>
      </c>
      <c r="T13" s="121">
        <f t="shared" si="4"/>
        <v>359349.8</v>
      </c>
      <c r="U13" s="35">
        <f t="shared" si="5"/>
        <v>1</v>
      </c>
      <c r="V13" s="40">
        <f t="shared" si="6"/>
        <v>0.18888965570594449</v>
      </c>
      <c r="W13" s="32">
        <v>67877.460000000006</v>
      </c>
      <c r="X13" s="124"/>
      <c r="Y13" s="36">
        <v>67877.460000000006</v>
      </c>
      <c r="Z13" s="40">
        <f t="shared" si="7"/>
        <v>0</v>
      </c>
      <c r="AA13" s="41"/>
      <c r="AB13" s="124"/>
      <c r="AC13" s="219"/>
      <c r="AD13" s="40">
        <f t="shared" si="8"/>
        <v>0</v>
      </c>
      <c r="AE13" s="32"/>
      <c r="AF13" s="124"/>
      <c r="AG13" s="36"/>
      <c r="AH13" s="40">
        <f t="shared" si="9"/>
        <v>0</v>
      </c>
      <c r="AI13" s="32"/>
      <c r="AJ13" s="124"/>
      <c r="AK13" s="36"/>
      <c r="AL13" s="40">
        <f t="shared" si="10"/>
        <v>0</v>
      </c>
      <c r="AM13" s="32"/>
      <c r="AN13" s="124"/>
      <c r="AO13" s="228"/>
      <c r="AP13" s="40">
        <f t="shared" si="11"/>
        <v>0</v>
      </c>
      <c r="AQ13" s="32"/>
      <c r="AR13" s="124"/>
      <c r="AS13" s="122"/>
      <c r="AT13" s="40">
        <f t="shared" si="12"/>
        <v>0</v>
      </c>
      <c r="AU13" s="41"/>
      <c r="AV13" s="124"/>
      <c r="AW13" s="36"/>
      <c r="AX13" s="40">
        <f t="shared" si="13"/>
        <v>0</v>
      </c>
      <c r="AY13" s="32"/>
      <c r="AZ13" s="185"/>
      <c r="BA13" s="43"/>
      <c r="BB13" s="40">
        <f t="shared" si="14"/>
        <v>0</v>
      </c>
      <c r="BC13" s="32"/>
      <c r="BD13" s="124"/>
      <c r="BE13" s="36"/>
      <c r="BF13" s="40">
        <f t="shared" si="15"/>
        <v>0</v>
      </c>
      <c r="BG13" s="32"/>
      <c r="BH13" s="124"/>
      <c r="BI13" s="36"/>
      <c r="BJ13" s="40">
        <f t="shared" si="16"/>
        <v>0</v>
      </c>
      <c r="BK13" s="32"/>
      <c r="BL13" s="124"/>
      <c r="BM13" s="36"/>
      <c r="BN13" s="40">
        <f t="shared" si="17"/>
        <v>0</v>
      </c>
      <c r="BO13" s="384"/>
      <c r="BP13" s="124"/>
      <c r="BQ13" s="36"/>
      <c r="BR13" s="37">
        <f t="shared" si="18"/>
        <v>0.16501851399388556</v>
      </c>
      <c r="BS13" s="38">
        <f t="shared" si="26"/>
        <v>59299.369999999966</v>
      </c>
      <c r="BT13" s="38">
        <f t="shared" si="19"/>
        <v>67877.460000000006</v>
      </c>
      <c r="BU13" s="38">
        <f t="shared" si="20"/>
        <v>67877.460000000006</v>
      </c>
      <c r="BV13" s="39">
        <f t="shared" si="21"/>
        <v>0</v>
      </c>
      <c r="BW13" s="37">
        <f t="shared" si="22"/>
        <v>1</v>
      </c>
      <c r="BX13" s="39">
        <f t="shared" si="23"/>
        <v>300050.43</v>
      </c>
      <c r="BY13" s="223">
        <f t="shared" si="24"/>
        <v>300050.43</v>
      </c>
      <c r="BZ13" s="39">
        <f t="shared" si="25"/>
        <v>0</v>
      </c>
    </row>
    <row r="14" spans="1:78" ht="16.149999999999999" thickBot="1">
      <c r="A14" s="31" t="s">
        <v>126</v>
      </c>
      <c r="B14" s="157" t="s">
        <v>127</v>
      </c>
      <c r="C14" s="120" t="s">
        <v>124</v>
      </c>
      <c r="D14" s="120" t="s">
        <v>102</v>
      </c>
      <c r="E14" s="120" t="s">
        <v>125</v>
      </c>
      <c r="F14" s="121">
        <v>205130.28</v>
      </c>
      <c r="G14" s="125">
        <v>45193</v>
      </c>
      <c r="H14" s="196">
        <f t="shared" si="0"/>
        <v>-1.0000000009313226E-2</v>
      </c>
      <c r="I14" s="195">
        <f t="shared" si="1"/>
        <v>0</v>
      </c>
      <c r="J14" s="199">
        <v>205130.29</v>
      </c>
      <c r="K14" s="198">
        <v>0</v>
      </c>
      <c r="L14" s="170"/>
      <c r="M14" s="33">
        <f t="shared" si="2"/>
        <v>1.0000000487495069</v>
      </c>
      <c r="N14" s="120" t="s">
        <v>128</v>
      </c>
      <c r="O14" s="34">
        <v>0</v>
      </c>
      <c r="P14" s="34">
        <v>0</v>
      </c>
      <c r="Q14" s="34"/>
      <c r="R14" s="34"/>
      <c r="S14" s="34">
        <f t="shared" si="3"/>
        <v>0</v>
      </c>
      <c r="T14" s="121">
        <f t="shared" si="4"/>
        <v>205130.28</v>
      </c>
      <c r="U14" s="35">
        <f t="shared" si="5"/>
        <v>1</v>
      </c>
      <c r="V14" s="40">
        <f t="shared" si="6"/>
        <v>0</v>
      </c>
      <c r="W14" s="32"/>
      <c r="X14" s="124"/>
      <c r="Y14" s="130"/>
      <c r="Z14" s="40">
        <f t="shared" si="7"/>
        <v>0</v>
      </c>
      <c r="AA14" s="32"/>
      <c r="AB14" s="124"/>
      <c r="AC14" s="36"/>
      <c r="AD14" s="40">
        <f t="shared" si="8"/>
        <v>0</v>
      </c>
      <c r="AE14" s="32"/>
      <c r="AF14" s="124"/>
      <c r="AG14" s="36"/>
      <c r="AH14" s="40">
        <f t="shared" si="9"/>
        <v>0</v>
      </c>
      <c r="AI14" s="32"/>
      <c r="AJ14" s="124"/>
      <c r="AK14" s="36"/>
      <c r="AL14" s="40">
        <f t="shared" si="10"/>
        <v>0</v>
      </c>
      <c r="AM14" s="32"/>
      <c r="AN14" s="124"/>
      <c r="AO14" s="228"/>
      <c r="AP14" s="40">
        <f t="shared" si="11"/>
        <v>0</v>
      </c>
      <c r="AQ14" s="32"/>
      <c r="AR14" s="124"/>
      <c r="AS14" s="122"/>
      <c r="AT14" s="40">
        <f t="shared" si="12"/>
        <v>0</v>
      </c>
      <c r="AU14" s="41"/>
      <c r="AV14" s="124"/>
      <c r="AW14" s="36"/>
      <c r="AX14" s="40">
        <f t="shared" si="13"/>
        <v>0</v>
      </c>
      <c r="AY14" s="32"/>
      <c r="AZ14" s="124"/>
      <c r="BA14" s="36"/>
      <c r="BB14" s="40">
        <f t="shared" si="14"/>
        <v>0</v>
      </c>
      <c r="BC14" s="32"/>
      <c r="BD14" s="124"/>
      <c r="BE14" s="36"/>
      <c r="BF14" s="40">
        <f t="shared" si="15"/>
        <v>0</v>
      </c>
      <c r="BG14" s="32"/>
      <c r="BH14" s="124"/>
      <c r="BI14" s="36"/>
      <c r="BJ14" s="40">
        <f t="shared" si="16"/>
        <v>0</v>
      </c>
      <c r="BK14" s="32"/>
      <c r="BL14" s="124"/>
      <c r="BM14" s="36"/>
      <c r="BN14" s="40">
        <f t="shared" si="17"/>
        <v>0</v>
      </c>
      <c r="BO14" s="32"/>
      <c r="BP14" s="124"/>
      <c r="BQ14" s="161"/>
      <c r="BR14" s="37">
        <f t="shared" si="18"/>
        <v>-4.8749506875722659E-8</v>
      </c>
      <c r="BS14" s="38">
        <f t="shared" si="26"/>
        <v>-1.0000000009313226E-2</v>
      </c>
      <c r="BT14" s="38">
        <f t="shared" si="19"/>
        <v>0</v>
      </c>
      <c r="BU14" s="38">
        <f t="shared" si="20"/>
        <v>0</v>
      </c>
      <c r="BV14" s="39">
        <f t="shared" si="21"/>
        <v>0</v>
      </c>
      <c r="BW14" s="37" t="str">
        <f t="shared" si="22"/>
        <v/>
      </c>
      <c r="BX14" s="39">
        <f t="shared" si="23"/>
        <v>205130.29</v>
      </c>
      <c r="BY14" s="223">
        <f t="shared" si="24"/>
        <v>205130.29</v>
      </c>
      <c r="BZ14" s="39">
        <f t="shared" si="25"/>
        <v>0</v>
      </c>
    </row>
    <row r="15" spans="1:78" ht="16.149999999999999" thickBot="1">
      <c r="A15" s="31" t="s">
        <v>129</v>
      </c>
      <c r="B15" s="157" t="s">
        <v>130</v>
      </c>
      <c r="C15" s="120" t="s">
        <v>124</v>
      </c>
      <c r="D15" s="120" t="s">
        <v>102</v>
      </c>
      <c r="E15" s="120" t="s">
        <v>109</v>
      </c>
      <c r="F15" s="121">
        <v>317000</v>
      </c>
      <c r="G15" s="125">
        <v>45235</v>
      </c>
      <c r="H15" s="196">
        <f>F15-I15-J15-Y15-AC15-AG15-AK15-AO15-AS15-AW15-BA15-BE15-BI15-BM15-BQ15</f>
        <v>72895.920000000013</v>
      </c>
      <c r="I15" s="195">
        <f t="shared" si="1"/>
        <v>0</v>
      </c>
      <c r="J15" s="199">
        <v>244104.08</v>
      </c>
      <c r="K15" s="198">
        <v>0</v>
      </c>
      <c r="L15" s="170"/>
      <c r="M15" s="33">
        <f t="shared" si="2"/>
        <v>0.7700444164037854</v>
      </c>
      <c r="N15" s="120" t="s">
        <v>104</v>
      </c>
      <c r="O15" s="34">
        <v>0</v>
      </c>
      <c r="P15" s="34">
        <v>0</v>
      </c>
      <c r="Q15" s="34"/>
      <c r="R15" s="34"/>
      <c r="S15" s="34">
        <f t="shared" si="3"/>
        <v>0</v>
      </c>
      <c r="T15" s="121">
        <f t="shared" si="4"/>
        <v>317000</v>
      </c>
      <c r="U15" s="35">
        <f t="shared" si="5"/>
        <v>1</v>
      </c>
      <c r="V15" s="40">
        <f t="shared" si="6"/>
        <v>0</v>
      </c>
      <c r="W15" s="32"/>
      <c r="X15" s="124"/>
      <c r="Y15" s="43"/>
      <c r="Z15" s="40">
        <f t="shared" si="7"/>
        <v>0</v>
      </c>
      <c r="AA15" s="32"/>
      <c r="AB15" s="124"/>
      <c r="AC15" s="36"/>
      <c r="AD15" s="40">
        <f t="shared" si="8"/>
        <v>0</v>
      </c>
      <c r="AE15" s="32"/>
      <c r="AF15" s="124"/>
      <c r="AG15" s="36"/>
      <c r="AH15" s="40">
        <f t="shared" si="9"/>
        <v>0</v>
      </c>
      <c r="AI15" s="32"/>
      <c r="AJ15" s="124"/>
      <c r="AK15" s="36"/>
      <c r="AL15" s="40">
        <f t="shared" si="10"/>
        <v>0</v>
      </c>
      <c r="AM15" s="32"/>
      <c r="AN15" s="124"/>
      <c r="AO15" s="228"/>
      <c r="AP15" s="40">
        <f t="shared" si="11"/>
        <v>0.31545741324921134</v>
      </c>
      <c r="AQ15" s="32">
        <v>100000</v>
      </c>
      <c r="AR15" s="124"/>
      <c r="AS15" s="122"/>
      <c r="AT15" s="40">
        <f t="shared" si="12"/>
        <v>0</v>
      </c>
      <c r="AU15" s="41"/>
      <c r="AV15" s="124"/>
      <c r="AW15" s="36"/>
      <c r="AX15" s="40">
        <f t="shared" si="13"/>
        <v>0</v>
      </c>
      <c r="AY15" s="32"/>
      <c r="AZ15" s="124"/>
      <c r="BA15" s="36"/>
      <c r="BB15" s="40">
        <f t="shared" si="14"/>
        <v>0</v>
      </c>
      <c r="BC15" s="41"/>
      <c r="BD15" s="218"/>
      <c r="BE15" s="219"/>
      <c r="BF15" s="40">
        <f t="shared" si="15"/>
        <v>0</v>
      </c>
      <c r="BG15" s="32"/>
      <c r="BH15" s="124"/>
      <c r="BI15" s="36"/>
      <c r="BJ15" s="40">
        <f xml:space="preserve"> IF(F15=0,"",(BK15/F15))</f>
        <v>0</v>
      </c>
      <c r="BK15" s="32"/>
      <c r="BL15" s="124"/>
      <c r="BM15" s="36"/>
      <c r="BN15" s="40">
        <f t="shared" si="17"/>
        <v>0</v>
      </c>
      <c r="BO15" s="32"/>
      <c r="BP15" s="124"/>
      <c r="BQ15" s="36"/>
      <c r="BR15" s="37">
        <f>IF(F15=0, "",1-((J15+K15+X15+Y15+AB15+AC15+AF15+AG15+AJ15+AK15+AN15+AO15+AR15+AS15+AV15+AW15+AZ15+BA15+BD15+BE15+BH15+BI15+BL15+BM15+BP15+BQ15)/F15))</f>
        <v>0.2299555835962146</v>
      </c>
      <c r="BS15" s="38">
        <f t="shared" si="26"/>
        <v>-27104.079999999987</v>
      </c>
      <c r="BT15" s="38">
        <f>W15+AA15+AE15+AI15+AM15+AQ15+AU15+AY15+BC15+BG15+BK15+BO15</f>
        <v>100000</v>
      </c>
      <c r="BU15" s="38">
        <f>(X15+Y15+AB15+AC15+AF15+AG15+AJ15+AK15+AN15+AO15+AR15+AS15+AV15+AW15+AZ15+BA15+BD15+BE15+BH15+BI15+BL15+BM15+BP15+BQ15)</f>
        <v>0</v>
      </c>
      <c r="BV15" s="39">
        <f t="shared" si="21"/>
        <v>100000</v>
      </c>
      <c r="BW15" s="37">
        <f t="shared" si="22"/>
        <v>0</v>
      </c>
      <c r="BX15" s="39">
        <f t="shared" si="23"/>
        <v>244104.08</v>
      </c>
      <c r="BY15" s="223">
        <f>J15+Y15+AC15+AG15+AK15+AO15+AS15+AW15+BA15+BE15+BI15+BM15+BQ15</f>
        <v>244104.08</v>
      </c>
      <c r="BZ15" s="39">
        <f t="shared" si="25"/>
        <v>0</v>
      </c>
    </row>
    <row r="16" spans="1:78" ht="16.149999999999999" thickBot="1">
      <c r="A16" s="31" t="s">
        <v>131</v>
      </c>
      <c r="B16" s="157" t="s">
        <v>132</v>
      </c>
      <c r="C16" s="120" t="s">
        <v>107</v>
      </c>
      <c r="D16" s="44" t="s">
        <v>121</v>
      </c>
      <c r="E16" s="44" t="s">
        <v>103</v>
      </c>
      <c r="F16" s="121">
        <v>223000</v>
      </c>
      <c r="G16" s="125">
        <v>45312</v>
      </c>
      <c r="H16" s="196">
        <v>-200</v>
      </c>
      <c r="I16" s="195">
        <f t="shared" si="1"/>
        <v>31220</v>
      </c>
      <c r="J16" s="199">
        <v>192000</v>
      </c>
      <c r="K16" s="198">
        <v>31220</v>
      </c>
      <c r="L16" s="170"/>
      <c r="M16" s="33">
        <f t="shared" si="2"/>
        <v>1.0009865470852017</v>
      </c>
      <c r="N16" s="120" t="s">
        <v>104</v>
      </c>
      <c r="O16" s="34">
        <v>0</v>
      </c>
      <c r="P16" s="34">
        <v>0</v>
      </c>
      <c r="Q16" s="34"/>
      <c r="R16" s="34"/>
      <c r="S16" s="34">
        <f t="shared" si="3"/>
        <v>0</v>
      </c>
      <c r="T16" s="121">
        <f t="shared" si="4"/>
        <v>223000</v>
      </c>
      <c r="U16" s="35">
        <f t="shared" si="5"/>
        <v>1</v>
      </c>
      <c r="V16" s="40">
        <f t="shared" si="6"/>
        <v>0</v>
      </c>
      <c r="W16" s="32"/>
      <c r="X16" s="124"/>
      <c r="Y16" s="43"/>
      <c r="Z16" s="40">
        <f t="shared" si="7"/>
        <v>0.13901345291479822</v>
      </c>
      <c r="AA16" s="32">
        <v>31000</v>
      </c>
      <c r="AB16" s="124"/>
      <c r="AC16" s="36"/>
      <c r="AD16" s="40">
        <f t="shared" ref="AD16:AD29" si="27" xml:space="preserve"> IF(F16=0,"",(AE16/F16))</f>
        <v>0</v>
      </c>
      <c r="AE16" s="32"/>
      <c r="AF16" s="124"/>
      <c r="AG16" s="43"/>
      <c r="AH16" s="40">
        <f t="shared" si="9"/>
        <v>0</v>
      </c>
      <c r="AI16" s="32"/>
      <c r="AJ16" s="124"/>
      <c r="AK16" s="36"/>
      <c r="AL16" s="40">
        <f t="shared" si="10"/>
        <v>0</v>
      </c>
      <c r="AM16" s="32"/>
      <c r="AN16" s="124"/>
      <c r="AO16" s="228"/>
      <c r="AP16" s="40">
        <f t="shared" si="11"/>
        <v>0</v>
      </c>
      <c r="AQ16" s="32"/>
      <c r="AR16" s="124"/>
      <c r="AS16" s="122"/>
      <c r="AT16" s="40">
        <f t="shared" si="12"/>
        <v>0</v>
      </c>
      <c r="AU16" s="32"/>
      <c r="AV16" s="124"/>
      <c r="AW16" s="36"/>
      <c r="AX16" s="40">
        <f t="shared" si="13"/>
        <v>0</v>
      </c>
      <c r="AY16" s="32"/>
      <c r="AZ16" s="124"/>
      <c r="BA16" s="36"/>
      <c r="BB16" s="40">
        <f t="shared" si="14"/>
        <v>0</v>
      </c>
      <c r="BC16" s="32"/>
      <c r="BD16" s="124"/>
      <c r="BE16" s="36"/>
      <c r="BF16" s="40">
        <f t="shared" si="15"/>
        <v>0</v>
      </c>
      <c r="BG16" s="32"/>
      <c r="BH16" s="124"/>
      <c r="BI16" s="36"/>
      <c r="BJ16" s="40">
        <f t="shared" si="16"/>
        <v>0</v>
      </c>
      <c r="BK16" s="32"/>
      <c r="BL16" s="124"/>
      <c r="BM16" s="36"/>
      <c r="BN16" s="40">
        <f t="shared" si="17"/>
        <v>0</v>
      </c>
      <c r="BO16" s="32"/>
      <c r="BP16" s="124"/>
      <c r="BQ16" s="36"/>
      <c r="BR16" s="37">
        <f t="shared" si="18"/>
        <v>-9.8654708520173884E-4</v>
      </c>
      <c r="BS16" s="38">
        <f t="shared" si="26"/>
        <v>-31220</v>
      </c>
      <c r="BT16" s="38">
        <f t="shared" ref="BT16:BT29" si="28">W16+AA16+AE16+AI16+AM16+AQ16+AU16+AY16+BC16+BG16+BK16+BO16</f>
        <v>31000</v>
      </c>
      <c r="BU16" s="38">
        <f t="shared" si="20"/>
        <v>0</v>
      </c>
      <c r="BV16" s="39">
        <f t="shared" si="21"/>
        <v>31000</v>
      </c>
      <c r="BW16" s="37">
        <f t="shared" si="22"/>
        <v>0</v>
      </c>
      <c r="BX16" s="39">
        <f t="shared" si="23"/>
        <v>223220</v>
      </c>
      <c r="BY16" s="223">
        <f t="shared" si="24"/>
        <v>192000</v>
      </c>
      <c r="BZ16" s="352">
        <f t="shared" si="25"/>
        <v>31220</v>
      </c>
    </row>
    <row r="17" spans="1:78" ht="16.149999999999999" thickBot="1">
      <c r="A17" s="31" t="s">
        <v>133</v>
      </c>
      <c r="B17" s="157" t="s">
        <v>134</v>
      </c>
      <c r="C17" s="120" t="s">
        <v>135</v>
      </c>
      <c r="D17" s="44" t="s">
        <v>121</v>
      </c>
      <c r="E17" s="44" t="s">
        <v>136</v>
      </c>
      <c r="F17" s="121">
        <v>1100000</v>
      </c>
      <c r="G17" s="125">
        <v>45344</v>
      </c>
      <c r="H17" s="196">
        <f t="shared" si="0"/>
        <v>660000</v>
      </c>
      <c r="I17" s="195">
        <f t="shared" si="1"/>
        <v>0</v>
      </c>
      <c r="J17" s="199">
        <v>440000</v>
      </c>
      <c r="K17" s="198"/>
      <c r="L17" s="170"/>
      <c r="M17" s="33">
        <f t="shared" si="2"/>
        <v>0.4</v>
      </c>
      <c r="N17" s="120" t="s">
        <v>104</v>
      </c>
      <c r="O17" s="34">
        <v>0</v>
      </c>
      <c r="P17" s="34">
        <v>0</v>
      </c>
      <c r="Q17" s="34"/>
      <c r="R17" s="34"/>
      <c r="S17" s="34">
        <f t="shared" si="3"/>
        <v>0</v>
      </c>
      <c r="T17" s="121">
        <f t="shared" si="4"/>
        <v>1100000</v>
      </c>
      <c r="U17" s="35">
        <f t="shared" si="5"/>
        <v>1</v>
      </c>
      <c r="V17" s="40">
        <f t="shared" si="6"/>
        <v>0</v>
      </c>
      <c r="W17" s="32"/>
      <c r="X17" s="124"/>
      <c r="Y17" s="43"/>
      <c r="Z17" s="40">
        <f t="shared" si="7"/>
        <v>0</v>
      </c>
      <c r="AA17" s="32"/>
      <c r="AB17" s="124"/>
      <c r="AC17" s="36"/>
      <c r="AD17" s="40">
        <f t="shared" si="27"/>
        <v>0</v>
      </c>
      <c r="AE17" s="32"/>
      <c r="AF17" s="124"/>
      <c r="AG17" s="36"/>
      <c r="AH17" s="40">
        <f t="shared" si="9"/>
        <v>0</v>
      </c>
      <c r="AI17" s="32"/>
      <c r="AJ17" s="124"/>
      <c r="AK17" s="36"/>
      <c r="AL17" s="40">
        <f t="shared" si="10"/>
        <v>0</v>
      </c>
      <c r="AM17" s="32"/>
      <c r="AN17" s="124"/>
      <c r="AO17" s="228"/>
      <c r="AP17" s="40">
        <f t="shared" si="11"/>
        <v>0</v>
      </c>
      <c r="AQ17" s="32"/>
      <c r="AR17" s="124"/>
      <c r="AS17" s="122"/>
      <c r="AT17" s="40">
        <f t="shared" si="12"/>
        <v>0</v>
      </c>
      <c r="AU17" s="32"/>
      <c r="AV17" s="124"/>
      <c r="AW17" s="36"/>
      <c r="AX17" s="40">
        <f t="shared" si="13"/>
        <v>0</v>
      </c>
      <c r="AY17" s="32"/>
      <c r="AZ17" s="124"/>
      <c r="BA17" s="36"/>
      <c r="BB17" s="40">
        <f t="shared" si="14"/>
        <v>0</v>
      </c>
      <c r="BC17" s="32"/>
      <c r="BD17" s="124"/>
      <c r="BE17" s="36"/>
      <c r="BF17" s="40">
        <f t="shared" si="15"/>
        <v>0</v>
      </c>
      <c r="BG17" s="32"/>
      <c r="BH17" s="124"/>
      <c r="BI17" s="36"/>
      <c r="BJ17" s="40">
        <f t="shared" si="16"/>
        <v>0</v>
      </c>
      <c r="BK17" s="32"/>
      <c r="BL17" s="124"/>
      <c r="BM17" s="36"/>
      <c r="BN17" s="40">
        <f t="shared" si="17"/>
        <v>0</v>
      </c>
      <c r="BO17" s="32"/>
      <c r="BP17" s="124"/>
      <c r="BQ17" s="130"/>
      <c r="BR17" s="37">
        <f t="shared" si="18"/>
        <v>0.6</v>
      </c>
      <c r="BS17" s="38">
        <f t="shared" si="26"/>
        <v>660000</v>
      </c>
      <c r="BT17" s="38">
        <f t="shared" si="28"/>
        <v>0</v>
      </c>
      <c r="BU17" s="38">
        <f t="shared" si="20"/>
        <v>0</v>
      </c>
      <c r="BV17" s="39">
        <f t="shared" si="21"/>
        <v>0</v>
      </c>
      <c r="BW17" s="37" t="str">
        <f t="shared" si="22"/>
        <v/>
      </c>
      <c r="BX17" s="39">
        <f t="shared" si="23"/>
        <v>440000</v>
      </c>
      <c r="BY17" s="223">
        <f t="shared" si="24"/>
        <v>440000</v>
      </c>
      <c r="BZ17" s="360">
        <f t="shared" si="25"/>
        <v>0</v>
      </c>
    </row>
    <row r="18" spans="1:78" ht="12.75" customHeight="1" thickBot="1">
      <c r="A18" s="31" t="s">
        <v>137</v>
      </c>
      <c r="B18" s="157" t="s">
        <v>138</v>
      </c>
      <c r="C18" s="120" t="s">
        <v>107</v>
      </c>
      <c r="D18" s="44" t="s">
        <v>139</v>
      </c>
      <c r="E18" s="44" t="s">
        <v>136</v>
      </c>
      <c r="F18" s="121">
        <v>1500000</v>
      </c>
      <c r="G18" s="125">
        <v>45354</v>
      </c>
      <c r="H18" s="196">
        <f t="shared" si="0"/>
        <v>1012500</v>
      </c>
      <c r="I18" s="195">
        <f t="shared" si="1"/>
        <v>0</v>
      </c>
      <c r="J18" s="199">
        <v>487500</v>
      </c>
      <c r="K18" s="198">
        <v>0</v>
      </c>
      <c r="L18" s="170"/>
      <c r="M18" s="33">
        <f t="shared" si="2"/>
        <v>0.32500000000000001</v>
      </c>
      <c r="N18" s="19" t="s">
        <v>104</v>
      </c>
      <c r="O18" s="34">
        <v>0</v>
      </c>
      <c r="P18" s="34">
        <v>0</v>
      </c>
      <c r="Q18" s="34"/>
      <c r="R18" s="34"/>
      <c r="S18" s="34">
        <f t="shared" si="3"/>
        <v>0</v>
      </c>
      <c r="T18" s="121">
        <f t="shared" si="4"/>
        <v>1500000</v>
      </c>
      <c r="U18" s="35">
        <f t="shared" si="5"/>
        <v>1</v>
      </c>
      <c r="V18" s="40">
        <f t="shared" si="6"/>
        <v>0</v>
      </c>
      <c r="W18" s="32"/>
      <c r="X18" s="124"/>
      <c r="Y18" s="43"/>
      <c r="Z18" s="40">
        <f t="shared" si="7"/>
        <v>0</v>
      </c>
      <c r="AA18" s="32"/>
      <c r="AB18" s="124"/>
      <c r="AC18" s="36"/>
      <c r="AD18" s="40">
        <f t="shared" si="27"/>
        <v>0</v>
      </c>
      <c r="AE18" s="32"/>
      <c r="AF18" s="243"/>
      <c r="AG18" s="36"/>
      <c r="AH18" s="40">
        <f t="shared" si="9"/>
        <v>0</v>
      </c>
      <c r="AI18" s="32"/>
      <c r="AJ18" s="124"/>
      <c r="AK18" s="36"/>
      <c r="AL18" s="40">
        <f t="shared" si="10"/>
        <v>0</v>
      </c>
      <c r="AM18" s="32"/>
      <c r="AN18" s="124"/>
      <c r="AO18" s="228"/>
      <c r="AP18" s="40">
        <f t="shared" si="11"/>
        <v>0</v>
      </c>
      <c r="AQ18" s="32"/>
      <c r="AR18" s="124"/>
      <c r="AS18" s="220"/>
      <c r="AT18" s="40">
        <f t="shared" si="12"/>
        <v>0</v>
      </c>
      <c r="AU18" s="32"/>
      <c r="AV18" s="124"/>
      <c r="AW18" s="36"/>
      <c r="AX18" s="40">
        <f t="shared" si="13"/>
        <v>0</v>
      </c>
      <c r="AY18" s="32"/>
      <c r="AZ18" s="124"/>
      <c r="BA18" s="36"/>
      <c r="BB18" s="40">
        <f t="shared" si="14"/>
        <v>0</v>
      </c>
      <c r="BC18" s="42"/>
      <c r="BD18" s="124"/>
      <c r="BE18" s="43"/>
      <c r="BF18" s="40">
        <f t="shared" si="15"/>
        <v>0</v>
      </c>
      <c r="BG18" s="385"/>
      <c r="BH18" s="124"/>
      <c r="BI18" s="36"/>
      <c r="BJ18" s="40">
        <f t="shared" si="16"/>
        <v>0</v>
      </c>
      <c r="BK18" s="32"/>
      <c r="BL18" s="124"/>
      <c r="BM18" s="36"/>
      <c r="BN18" s="40">
        <f t="shared" si="17"/>
        <v>0</v>
      </c>
      <c r="BO18" s="32"/>
      <c r="BP18" s="124"/>
      <c r="BQ18" s="36"/>
      <c r="BR18" s="37">
        <f t="shared" si="18"/>
        <v>0.67500000000000004</v>
      </c>
      <c r="BS18" s="38">
        <f t="shared" si="26"/>
        <v>1012500</v>
      </c>
      <c r="BT18" s="38">
        <f t="shared" si="28"/>
        <v>0</v>
      </c>
      <c r="BU18" s="38">
        <f t="shared" si="20"/>
        <v>0</v>
      </c>
      <c r="BV18" s="39">
        <f t="shared" si="21"/>
        <v>0</v>
      </c>
      <c r="BW18" s="37" t="str">
        <f t="shared" si="22"/>
        <v/>
      </c>
      <c r="BX18" s="39">
        <f t="shared" si="23"/>
        <v>487500</v>
      </c>
      <c r="BY18" s="223">
        <f t="shared" si="24"/>
        <v>487500</v>
      </c>
      <c r="BZ18" s="360">
        <f t="shared" si="25"/>
        <v>0</v>
      </c>
    </row>
    <row r="19" spans="1:78" ht="12.75" customHeight="1" thickBot="1">
      <c r="A19" s="31" t="s">
        <v>140</v>
      </c>
      <c r="B19" s="157" t="s">
        <v>141</v>
      </c>
      <c r="C19" s="120" t="s">
        <v>107</v>
      </c>
      <c r="D19" s="44" t="s">
        <v>121</v>
      </c>
      <c r="E19" s="44" t="s">
        <v>109</v>
      </c>
      <c r="F19" s="121">
        <v>850000</v>
      </c>
      <c r="G19" s="125">
        <v>45354</v>
      </c>
      <c r="H19" s="196">
        <f t="shared" si="0"/>
        <v>255000</v>
      </c>
      <c r="I19" s="195">
        <f t="shared" si="1"/>
        <v>0</v>
      </c>
      <c r="J19" s="199">
        <v>425000</v>
      </c>
      <c r="K19" s="198">
        <v>115000</v>
      </c>
      <c r="L19" s="170"/>
      <c r="M19" s="33">
        <f t="shared" si="2"/>
        <v>0.63529411764705879</v>
      </c>
      <c r="N19" s="120" t="s">
        <v>104</v>
      </c>
      <c r="O19" s="34">
        <v>0</v>
      </c>
      <c r="P19" s="34">
        <v>0</v>
      </c>
      <c r="Q19" s="34"/>
      <c r="R19" s="34"/>
      <c r="S19" s="34">
        <f t="shared" si="3"/>
        <v>0</v>
      </c>
      <c r="T19" s="121">
        <f t="shared" si="4"/>
        <v>850000</v>
      </c>
      <c r="U19" s="35">
        <f t="shared" si="5"/>
        <v>1</v>
      </c>
      <c r="V19" s="40">
        <f t="shared" si="6"/>
        <v>0</v>
      </c>
      <c r="W19" s="32"/>
      <c r="X19" s="124"/>
      <c r="Y19" s="43"/>
      <c r="Z19" s="40">
        <f t="shared" si="7"/>
        <v>0.2</v>
      </c>
      <c r="AA19" s="32">
        <v>170000</v>
      </c>
      <c r="AB19" s="124">
        <v>-115000</v>
      </c>
      <c r="AC19" s="36">
        <v>170000</v>
      </c>
      <c r="AD19" s="40">
        <f t="shared" si="27"/>
        <v>0</v>
      </c>
      <c r="AE19" s="32"/>
      <c r="AF19" s="124"/>
      <c r="AG19" s="36"/>
      <c r="AH19" s="40">
        <f t="shared" si="9"/>
        <v>0</v>
      </c>
      <c r="AI19" s="32"/>
      <c r="AJ19" s="124"/>
      <c r="AK19" s="36"/>
      <c r="AL19" s="40">
        <f t="shared" si="10"/>
        <v>0</v>
      </c>
      <c r="AM19" s="32"/>
      <c r="AN19" s="124"/>
      <c r="AO19" s="228"/>
      <c r="AP19" s="40">
        <f t="shared" si="11"/>
        <v>0.18823529411764706</v>
      </c>
      <c r="AQ19" s="32">
        <v>160000</v>
      </c>
      <c r="AR19" s="124"/>
      <c r="AS19" s="220"/>
      <c r="AT19" s="40">
        <f t="shared" si="12"/>
        <v>0</v>
      </c>
      <c r="AU19" s="32"/>
      <c r="AV19" s="124"/>
      <c r="AW19" s="36"/>
      <c r="AX19" s="40">
        <f t="shared" si="13"/>
        <v>0</v>
      </c>
      <c r="AY19" s="32"/>
      <c r="AZ19" s="124"/>
      <c r="BA19" s="36"/>
      <c r="BB19" s="40">
        <f t="shared" si="14"/>
        <v>0</v>
      </c>
      <c r="BC19" s="32"/>
      <c r="BD19" s="124"/>
      <c r="BE19" s="36"/>
      <c r="BF19" s="40">
        <f t="shared" si="15"/>
        <v>0</v>
      </c>
      <c r="BG19" s="32"/>
      <c r="BH19" s="124"/>
      <c r="BI19" s="36"/>
      <c r="BJ19" s="40">
        <f t="shared" si="16"/>
        <v>0</v>
      </c>
      <c r="BK19" s="32"/>
      <c r="BL19" s="124"/>
      <c r="BM19" s="36"/>
      <c r="BN19" s="40">
        <f t="shared" si="17"/>
        <v>0</v>
      </c>
      <c r="BO19" s="32"/>
      <c r="BP19" s="124"/>
      <c r="BQ19" s="36"/>
      <c r="BR19" s="37">
        <f t="shared" si="18"/>
        <v>0.30000000000000004</v>
      </c>
      <c r="BS19" s="38">
        <f t="shared" si="26"/>
        <v>-20000</v>
      </c>
      <c r="BT19" s="38">
        <f t="shared" si="28"/>
        <v>330000</v>
      </c>
      <c r="BU19" s="38">
        <f t="shared" si="20"/>
        <v>55000</v>
      </c>
      <c r="BV19" s="39">
        <f t="shared" si="21"/>
        <v>275000</v>
      </c>
      <c r="BW19" s="37">
        <f t="shared" si="22"/>
        <v>0.16666666666666666</v>
      </c>
      <c r="BX19" s="39">
        <f t="shared" si="23"/>
        <v>595000</v>
      </c>
      <c r="BY19" s="223">
        <f t="shared" si="24"/>
        <v>595000</v>
      </c>
      <c r="BZ19" s="352">
        <f t="shared" si="25"/>
        <v>0</v>
      </c>
    </row>
    <row r="20" spans="1:78" ht="12.75" hidden="1" customHeight="1">
      <c r="A20" s="31" t="s">
        <v>142</v>
      </c>
      <c r="B20" s="157" t="s">
        <v>143</v>
      </c>
      <c r="C20" s="120" t="s">
        <v>144</v>
      </c>
      <c r="D20" s="44" t="s">
        <v>139</v>
      </c>
      <c r="E20" s="44" t="s">
        <v>136</v>
      </c>
      <c r="F20" s="121">
        <v>128975</v>
      </c>
      <c r="G20" s="125">
        <v>45354</v>
      </c>
      <c r="H20" s="196">
        <f t="shared" si="0"/>
        <v>0</v>
      </c>
      <c r="I20" s="195">
        <f t="shared" si="1"/>
        <v>0</v>
      </c>
      <c r="J20" s="199">
        <v>128975</v>
      </c>
      <c r="K20" s="198">
        <v>0</v>
      </c>
      <c r="L20" s="170"/>
      <c r="M20" s="33">
        <f t="shared" si="2"/>
        <v>1</v>
      </c>
      <c r="N20" s="120" t="s">
        <v>128</v>
      </c>
      <c r="O20" s="34">
        <v>0</v>
      </c>
      <c r="P20" s="34">
        <v>0</v>
      </c>
      <c r="Q20" s="34"/>
      <c r="R20" s="34"/>
      <c r="S20" s="34">
        <f t="shared" si="3"/>
        <v>0</v>
      </c>
      <c r="T20" s="121">
        <f t="shared" si="4"/>
        <v>128975</v>
      </c>
      <c r="U20" s="35">
        <f t="shared" si="5"/>
        <v>1</v>
      </c>
      <c r="V20" s="40">
        <f t="shared" si="6"/>
        <v>3.8751696065128904E-2</v>
      </c>
      <c r="W20" s="14">
        <v>4998</v>
      </c>
      <c r="X20" s="124"/>
      <c r="Y20" s="130"/>
      <c r="Z20" s="40">
        <f t="shared" si="7"/>
        <v>0</v>
      </c>
      <c r="AA20" s="32"/>
      <c r="AB20" s="124"/>
      <c r="AC20" s="36"/>
      <c r="AD20" s="40">
        <f t="shared" si="27"/>
        <v>0</v>
      </c>
      <c r="AE20" s="32"/>
      <c r="AF20" s="124"/>
      <c r="AG20" s="36"/>
      <c r="AH20" s="40">
        <f t="shared" si="9"/>
        <v>0</v>
      </c>
      <c r="AI20" s="32"/>
      <c r="AJ20" s="124"/>
      <c r="AK20" s="36"/>
      <c r="AL20" s="40">
        <f t="shared" si="10"/>
        <v>0</v>
      </c>
      <c r="AM20" s="32"/>
      <c r="AN20" s="124"/>
      <c r="AO20" s="228"/>
      <c r="AP20" s="40">
        <f t="shared" si="11"/>
        <v>0</v>
      </c>
      <c r="AQ20" s="32"/>
      <c r="AR20" s="124"/>
      <c r="AS20" s="122"/>
      <c r="AT20" s="40">
        <f t="shared" si="12"/>
        <v>0</v>
      </c>
      <c r="AU20" s="32"/>
      <c r="AV20" s="124"/>
      <c r="AW20" s="36"/>
      <c r="AX20" s="40">
        <f t="shared" si="13"/>
        <v>0</v>
      </c>
      <c r="AY20" s="32"/>
      <c r="AZ20" s="124"/>
      <c r="BA20" s="36"/>
      <c r="BB20" s="40">
        <f t="shared" si="14"/>
        <v>0</v>
      </c>
      <c r="BC20" s="32"/>
      <c r="BD20" s="124"/>
      <c r="BE20" s="36"/>
      <c r="BF20" s="40">
        <f t="shared" si="15"/>
        <v>0</v>
      </c>
      <c r="BG20" s="32"/>
      <c r="BH20" s="124"/>
      <c r="BI20" s="36"/>
      <c r="BJ20" s="40">
        <f t="shared" si="16"/>
        <v>0</v>
      </c>
      <c r="BK20" s="32"/>
      <c r="BL20" s="124"/>
      <c r="BM20" s="36"/>
      <c r="BN20" s="40">
        <f t="shared" si="17"/>
        <v>0</v>
      </c>
      <c r="BO20" s="32"/>
      <c r="BP20" s="124"/>
      <c r="BQ20" s="36"/>
      <c r="BR20" s="37">
        <f t="shared" si="18"/>
        <v>0</v>
      </c>
      <c r="BS20" s="38">
        <f t="shared" si="26"/>
        <v>-4998</v>
      </c>
      <c r="BT20" s="38">
        <f t="shared" si="28"/>
        <v>4998</v>
      </c>
      <c r="BU20" s="38">
        <f t="shared" si="20"/>
        <v>0</v>
      </c>
      <c r="BV20" s="39">
        <f t="shared" si="21"/>
        <v>4998</v>
      </c>
      <c r="BW20" s="37">
        <f t="shared" si="22"/>
        <v>0</v>
      </c>
      <c r="BX20" s="39">
        <f t="shared" si="23"/>
        <v>128975</v>
      </c>
      <c r="BY20" s="223">
        <f t="shared" si="24"/>
        <v>128975</v>
      </c>
      <c r="BZ20" s="39">
        <f t="shared" si="25"/>
        <v>0</v>
      </c>
    </row>
    <row r="21" spans="1:78" ht="12.75" customHeight="1" thickBot="1">
      <c r="A21" s="31" t="s">
        <v>145</v>
      </c>
      <c r="B21" s="157" t="s">
        <v>146</v>
      </c>
      <c r="C21" s="120" t="s">
        <v>147</v>
      </c>
      <c r="D21" s="44" t="s">
        <v>121</v>
      </c>
      <c r="E21" s="44" t="s">
        <v>125</v>
      </c>
      <c r="F21" s="121">
        <v>50000</v>
      </c>
      <c r="G21" s="125">
        <v>45442</v>
      </c>
      <c r="H21" s="196">
        <f t="shared" si="0"/>
        <v>0</v>
      </c>
      <c r="I21" s="195">
        <f t="shared" si="1"/>
        <v>0</v>
      </c>
      <c r="J21" s="199">
        <v>3500</v>
      </c>
      <c r="K21" s="198"/>
      <c r="L21" s="170"/>
      <c r="M21" s="33">
        <f t="shared" si="2"/>
        <v>7.0000000000000007E-2</v>
      </c>
      <c r="N21" s="120" t="s">
        <v>104</v>
      </c>
      <c r="O21" s="34">
        <v>0</v>
      </c>
      <c r="P21" s="34">
        <v>0</v>
      </c>
      <c r="Q21" s="34"/>
      <c r="R21" s="34"/>
      <c r="S21" s="34">
        <v>0</v>
      </c>
      <c r="T21" s="121">
        <f t="shared" si="4"/>
        <v>50000</v>
      </c>
      <c r="U21" s="35">
        <f t="shared" si="5"/>
        <v>1</v>
      </c>
      <c r="V21" s="40">
        <f t="shared" si="6"/>
        <v>0</v>
      </c>
      <c r="W21" s="32"/>
      <c r="X21" s="124"/>
      <c r="Y21" s="43"/>
      <c r="Z21" s="40">
        <f t="shared" si="7"/>
        <v>0.93</v>
      </c>
      <c r="AA21" s="32">
        <v>46500</v>
      </c>
      <c r="AB21" s="124"/>
      <c r="AC21" s="36">
        <v>46500</v>
      </c>
      <c r="AD21" s="40">
        <f t="shared" si="27"/>
        <v>0</v>
      </c>
      <c r="AE21" s="32"/>
      <c r="AF21" s="124"/>
      <c r="AG21" s="36"/>
      <c r="AH21" s="40">
        <f t="shared" si="9"/>
        <v>0</v>
      </c>
      <c r="AI21" s="32"/>
      <c r="AJ21" s="124"/>
      <c r="AK21" s="36"/>
      <c r="AL21" s="40">
        <f t="shared" si="10"/>
        <v>0</v>
      </c>
      <c r="AM21" s="32"/>
      <c r="AN21" s="124"/>
      <c r="AO21" s="228"/>
      <c r="AP21" s="40">
        <f t="shared" si="11"/>
        <v>0</v>
      </c>
      <c r="AQ21" s="32"/>
      <c r="AR21" s="124"/>
      <c r="AS21" s="122"/>
      <c r="AT21" s="40">
        <f t="shared" si="12"/>
        <v>0</v>
      </c>
      <c r="AU21" s="32"/>
      <c r="AV21" s="124"/>
      <c r="AW21" s="36"/>
      <c r="AX21" s="40">
        <f t="shared" si="13"/>
        <v>0</v>
      </c>
      <c r="AY21" s="32"/>
      <c r="AZ21" s="124"/>
      <c r="BA21" s="36"/>
      <c r="BB21" s="40">
        <f t="shared" si="14"/>
        <v>0</v>
      </c>
      <c r="BC21" s="32"/>
      <c r="BD21" s="124"/>
      <c r="BE21" s="36"/>
      <c r="BF21" s="40">
        <f t="shared" si="15"/>
        <v>0</v>
      </c>
      <c r="BG21" s="32"/>
      <c r="BH21" s="124"/>
      <c r="BI21" s="36"/>
      <c r="BJ21" s="40">
        <f t="shared" si="16"/>
        <v>0</v>
      </c>
      <c r="BK21" s="32"/>
      <c r="BL21" s="124"/>
      <c r="BM21" s="36"/>
      <c r="BN21" s="40">
        <f t="shared" si="17"/>
        <v>0</v>
      </c>
      <c r="BO21" s="32"/>
      <c r="BP21" s="124"/>
      <c r="BQ21" s="36"/>
      <c r="BR21" s="37">
        <f t="shared" si="18"/>
        <v>0</v>
      </c>
      <c r="BS21" s="38">
        <f t="shared" si="26"/>
        <v>0</v>
      </c>
      <c r="BT21" s="38">
        <f t="shared" si="28"/>
        <v>46500</v>
      </c>
      <c r="BU21" s="38">
        <f t="shared" si="20"/>
        <v>46500</v>
      </c>
      <c r="BV21" s="39">
        <f t="shared" si="21"/>
        <v>0</v>
      </c>
      <c r="BW21" s="37">
        <f t="shared" si="22"/>
        <v>1</v>
      </c>
      <c r="BX21" s="39">
        <f t="shared" si="23"/>
        <v>50000</v>
      </c>
      <c r="BY21" s="223">
        <f t="shared" si="24"/>
        <v>50000</v>
      </c>
      <c r="BZ21" s="361">
        <f t="shared" si="25"/>
        <v>0</v>
      </c>
    </row>
    <row r="22" spans="1:78" ht="12.75" customHeight="1" thickBot="1">
      <c r="A22" s="31" t="s">
        <v>148</v>
      </c>
      <c r="B22" s="157" t="s">
        <v>149</v>
      </c>
      <c r="C22" s="120" t="s">
        <v>150</v>
      </c>
      <c r="D22" s="44" t="s">
        <v>139</v>
      </c>
      <c r="E22" s="44" t="s">
        <v>136</v>
      </c>
      <c r="F22" s="121">
        <v>193338</v>
      </c>
      <c r="G22" s="125">
        <v>45484</v>
      </c>
      <c r="H22" s="196">
        <f t="shared" ref="H22:H29" si="29">F22-I22-J22-Y22-AC22-AG22-AK22-AO22-AS22-AW22-BA22-BE22-BI22-BM22-BQ22</f>
        <v>33641.51999999999</v>
      </c>
      <c r="I22" s="195">
        <f t="shared" ref="I22:I32" si="30">K22+X22+AB22+AF22+AJ22+AN22+AR22+AV22+AZ22+BD22+BH22+BL22+BP22</f>
        <v>159696.48000000001</v>
      </c>
      <c r="J22" s="199">
        <v>0</v>
      </c>
      <c r="K22" s="198">
        <v>159696.48000000001</v>
      </c>
      <c r="L22" s="170"/>
      <c r="M22" s="33">
        <f t="shared" ref="M22:M32" si="31">IF(F22=0,0,(J22+K22)/F22)</f>
        <v>0.82599633801942718</v>
      </c>
      <c r="N22" s="120" t="s">
        <v>151</v>
      </c>
      <c r="O22" s="34">
        <v>0</v>
      </c>
      <c r="P22" s="34">
        <v>0</v>
      </c>
      <c r="Q22" s="34"/>
      <c r="R22" s="34"/>
      <c r="S22" s="34">
        <f t="shared" ref="S22:S32" si="32">(L22*R22)+(Q22*R22)</f>
        <v>0</v>
      </c>
      <c r="T22" s="121">
        <f t="shared" ref="T22:T32" si="33">F22-O22-P22-S22</f>
        <v>193338</v>
      </c>
      <c r="U22" s="35">
        <f t="shared" ref="U22:U32" si="34">IF(F22=0,"",(T22/F22))</f>
        <v>1</v>
      </c>
      <c r="V22" s="40">
        <f t="shared" ref="V22:V32" si="35" xml:space="preserve"> IF(F22=0,"",(W22/F22))</f>
        <v>0</v>
      </c>
      <c r="W22" s="32"/>
      <c r="X22" s="124"/>
      <c r="Y22" s="43"/>
      <c r="Z22" s="40">
        <f t="shared" ref="Z22:Z32" si="36" xml:space="preserve"> IF(F22=0,"",(AA22/F22))</f>
        <v>0</v>
      </c>
      <c r="AA22" s="32"/>
      <c r="AB22" s="124"/>
      <c r="AC22" s="36"/>
      <c r="AD22" s="40">
        <f t="shared" si="27"/>
        <v>0</v>
      </c>
      <c r="AE22" s="32"/>
      <c r="AF22" s="124"/>
      <c r="AG22" s="36"/>
      <c r="AH22" s="40">
        <f t="shared" ref="AH22:AH32" si="37" xml:space="preserve"> IF(F22=0, "", (AI22/F22))</f>
        <v>0</v>
      </c>
      <c r="AI22" s="32"/>
      <c r="AJ22" s="124"/>
      <c r="AK22" s="36"/>
      <c r="AL22" s="40">
        <f t="shared" ref="AL22:AL32" si="38" xml:space="preserve"> IF(F22=0,"",(AM22/F22))</f>
        <v>0</v>
      </c>
      <c r="AM22" s="32"/>
      <c r="AN22" s="124"/>
      <c r="AO22" s="228"/>
      <c r="AP22" s="40">
        <f t="shared" ref="AP22:AP32" si="39" xml:space="preserve"> IF(F22=0,"",(AQ22/F22))</f>
        <v>0</v>
      </c>
      <c r="AQ22" s="32"/>
      <c r="AR22" s="124"/>
      <c r="AS22" s="122"/>
      <c r="AT22" s="40">
        <f t="shared" ref="AT22:AT32" si="40" xml:space="preserve"> IF(F22=0,"",(AU22/F22))</f>
        <v>0</v>
      </c>
      <c r="AU22" s="32"/>
      <c r="AV22" s="124"/>
      <c r="AW22" s="36"/>
      <c r="AX22" s="40">
        <f t="shared" ref="AX22:AX32" si="41" xml:space="preserve"> IF(F22=0,"",(AY22/F22))</f>
        <v>0</v>
      </c>
      <c r="AY22" s="32"/>
      <c r="AZ22" s="124"/>
      <c r="BA22" s="36"/>
      <c r="BB22" s="40">
        <f t="shared" ref="BB22:BB32" si="42" xml:space="preserve"> IF(F22=0,"",(BC22/F22))</f>
        <v>0</v>
      </c>
      <c r="BC22" s="32"/>
      <c r="BD22" s="124"/>
      <c r="BE22" s="36"/>
      <c r="BF22" s="40">
        <f t="shared" ref="BF22:BF32" si="43" xml:space="preserve"> IF(F22=0,"",(BG22/F22))</f>
        <v>0</v>
      </c>
      <c r="BG22" s="32"/>
      <c r="BH22" s="124"/>
      <c r="BI22" s="36"/>
      <c r="BJ22" s="40">
        <f t="shared" ref="BJ22:BJ32" si="44" xml:space="preserve"> IF(F22=0,"",(BK22/F22))</f>
        <v>0</v>
      </c>
      <c r="BK22" s="32"/>
      <c r="BL22" s="124"/>
      <c r="BM22" s="36"/>
      <c r="BN22" s="40">
        <f t="shared" ref="BN22:BN32" si="45" xml:space="preserve"> IF(F22=0,"",(BO22/F22))</f>
        <v>0</v>
      </c>
      <c r="BO22" s="32"/>
      <c r="BP22" s="124"/>
      <c r="BQ22" s="36"/>
      <c r="BR22" s="37">
        <f t="shared" ref="BR22:BR32" si="46">IF(F22=0, "",1-((J22+K22+X22+Y22+AB22+AC22+AF22+AG22+AJ22+AK22+AN22+AO22+AR22+AS22+AV22+AW22+AZ22+BA22+BD22+BE22+BH22+BI22+BL22+BM22+BP22+BQ22)/F22))</f>
        <v>0.17400366198057282</v>
      </c>
      <c r="BS22" s="38">
        <f t="shared" ref="BS22:BS30" si="47">F22-BT22-J22-K22</f>
        <v>33641.51999999999</v>
      </c>
      <c r="BT22" s="38">
        <f t="shared" si="28"/>
        <v>0</v>
      </c>
      <c r="BU22" s="38">
        <f t="shared" ref="BU22:BU57" si="48">(X22+Y22+AB22+AC22+AF22+AG22+AJ22+AK22+AN22+AO22+AR22+AS22+AV22+AW22+AZ22+BA22+BD22+BE22+BH22+BI22+BL22+BM22+BP22+BQ22)</f>
        <v>0</v>
      </c>
      <c r="BV22" s="39">
        <f t="shared" ref="BV22:BV32" si="49">BT22-BU22</f>
        <v>0</v>
      </c>
      <c r="BW22" s="37" t="str">
        <f t="shared" ref="BW22:BW32" si="50">IF(BT22=0,"",(BU22) / BT22)</f>
        <v/>
      </c>
      <c r="BX22" s="39">
        <f t="shared" ref="BX22:BX32" si="51">BY22+BZ22</f>
        <v>159696.48000000001</v>
      </c>
      <c r="BY22" s="223">
        <f t="shared" ref="BY22:BY32" si="52">J22+Y22+AC22+AG22+AK22+AO22+AS22+AW22+BA22+BE22+BI22+BM22+BQ22</f>
        <v>0</v>
      </c>
      <c r="BZ22" s="353">
        <f t="shared" ref="BZ22:BZ32" si="53">K22+X22+AB22+AF22+AJ22+AN22+AR22+AV22+AZ22+BD22+BH22+BL22+BP22</f>
        <v>159696.48000000001</v>
      </c>
    </row>
    <row r="23" spans="1:78" ht="12.75" customHeight="1" thickBot="1">
      <c r="A23" s="31" t="s">
        <v>152</v>
      </c>
      <c r="B23" s="157" t="s">
        <v>153</v>
      </c>
      <c r="C23" s="120" t="s">
        <v>107</v>
      </c>
      <c r="D23" s="44" t="s">
        <v>154</v>
      </c>
      <c r="E23" s="44" t="s">
        <v>109</v>
      </c>
      <c r="F23" s="121">
        <v>10000</v>
      </c>
      <c r="G23" s="125">
        <v>45487</v>
      </c>
      <c r="H23" s="196">
        <f t="shared" si="29"/>
        <v>10000</v>
      </c>
      <c r="I23" s="195">
        <f t="shared" si="30"/>
        <v>0</v>
      </c>
      <c r="J23" s="199">
        <v>0</v>
      </c>
      <c r="K23" s="198">
        <v>0</v>
      </c>
      <c r="L23" s="170"/>
      <c r="M23" s="33">
        <f t="shared" si="31"/>
        <v>0</v>
      </c>
      <c r="N23" s="120" t="s">
        <v>151</v>
      </c>
      <c r="O23" s="34">
        <v>0</v>
      </c>
      <c r="P23" s="34">
        <v>0</v>
      </c>
      <c r="Q23" s="34"/>
      <c r="R23" s="34"/>
      <c r="S23" s="34">
        <f t="shared" si="32"/>
        <v>0</v>
      </c>
      <c r="T23" s="121">
        <f t="shared" si="33"/>
        <v>10000</v>
      </c>
      <c r="U23" s="35">
        <f t="shared" si="34"/>
        <v>1</v>
      </c>
      <c r="V23" s="40">
        <f t="shared" si="35"/>
        <v>0</v>
      </c>
      <c r="W23" s="32"/>
      <c r="X23" s="124"/>
      <c r="Y23" s="43"/>
      <c r="Z23" s="40">
        <f t="shared" si="36"/>
        <v>0</v>
      </c>
      <c r="AA23" s="32"/>
      <c r="AB23" s="124"/>
      <c r="AC23" s="36"/>
      <c r="AD23" s="40">
        <f t="shared" si="27"/>
        <v>0</v>
      </c>
      <c r="AE23" s="32"/>
      <c r="AF23" s="124"/>
      <c r="AG23" s="36"/>
      <c r="AH23" s="40">
        <f t="shared" si="37"/>
        <v>0</v>
      </c>
      <c r="AI23" s="32"/>
      <c r="AJ23" s="124"/>
      <c r="AK23" s="36"/>
      <c r="AL23" s="40">
        <f t="shared" si="38"/>
        <v>0</v>
      </c>
      <c r="AM23" s="32"/>
      <c r="AN23" s="124"/>
      <c r="AO23" s="228"/>
      <c r="AP23" s="40">
        <f t="shared" si="39"/>
        <v>0</v>
      </c>
      <c r="AQ23" s="32"/>
      <c r="AR23" s="124"/>
      <c r="AS23" s="122"/>
      <c r="AT23" s="40">
        <f t="shared" si="40"/>
        <v>0</v>
      </c>
      <c r="AU23" s="32"/>
      <c r="AV23" s="124"/>
      <c r="AW23" s="36"/>
      <c r="AX23" s="40">
        <f t="shared" si="41"/>
        <v>0</v>
      </c>
      <c r="AY23" s="32"/>
      <c r="AZ23" s="124"/>
      <c r="BA23" s="36"/>
      <c r="BB23" s="40">
        <f t="shared" si="42"/>
        <v>0</v>
      </c>
      <c r="BC23" s="32"/>
      <c r="BD23" s="124"/>
      <c r="BE23" s="36"/>
      <c r="BF23" s="40">
        <f t="shared" si="43"/>
        <v>0</v>
      </c>
      <c r="BG23" s="32"/>
      <c r="BH23" s="124"/>
      <c r="BI23" s="36"/>
      <c r="BJ23" s="40">
        <f t="shared" si="44"/>
        <v>0</v>
      </c>
      <c r="BK23" s="32"/>
      <c r="BL23" s="124"/>
      <c r="BM23" s="36"/>
      <c r="BN23" s="40">
        <f t="shared" si="45"/>
        <v>0</v>
      </c>
      <c r="BO23" s="32"/>
      <c r="BP23" s="124"/>
      <c r="BQ23" s="36"/>
      <c r="BR23" s="37">
        <f t="shared" si="46"/>
        <v>1</v>
      </c>
      <c r="BS23" s="38">
        <f t="shared" si="47"/>
        <v>10000</v>
      </c>
      <c r="BT23" s="38">
        <f t="shared" si="28"/>
        <v>0</v>
      </c>
      <c r="BU23" s="38">
        <f t="shared" si="48"/>
        <v>0</v>
      </c>
      <c r="BV23" s="39">
        <f t="shared" si="49"/>
        <v>0</v>
      </c>
      <c r="BW23" s="37" t="str">
        <f t="shared" si="50"/>
        <v/>
      </c>
      <c r="BX23" s="39">
        <f t="shared" si="51"/>
        <v>0</v>
      </c>
      <c r="BY23" s="223">
        <f t="shared" si="52"/>
        <v>0</v>
      </c>
      <c r="BZ23" s="223">
        <f t="shared" si="53"/>
        <v>0</v>
      </c>
    </row>
    <row r="24" spans="1:78" ht="13.5" customHeight="1" thickBot="1">
      <c r="A24" s="31" t="s">
        <v>155</v>
      </c>
      <c r="B24" s="157" t="s">
        <v>156</v>
      </c>
      <c r="C24" s="120" t="s">
        <v>150</v>
      </c>
      <c r="D24" s="44" t="s">
        <v>139</v>
      </c>
      <c r="E24" s="44" t="s">
        <v>136</v>
      </c>
      <c r="F24" s="121">
        <v>46437</v>
      </c>
      <c r="G24" s="125">
        <v>45554</v>
      </c>
      <c r="H24" s="196">
        <f t="shared" si="29"/>
        <v>41794</v>
      </c>
      <c r="I24" s="195">
        <f t="shared" si="30"/>
        <v>0</v>
      </c>
      <c r="J24" s="199">
        <v>4643</v>
      </c>
      <c r="K24" s="198">
        <v>0</v>
      </c>
      <c r="L24" s="170"/>
      <c r="M24" s="33">
        <f t="shared" si="31"/>
        <v>9.9984925813467712E-2</v>
      </c>
      <c r="N24" s="120" t="s">
        <v>104</v>
      </c>
      <c r="O24" s="34">
        <v>0</v>
      </c>
      <c r="P24" s="34">
        <v>0</v>
      </c>
      <c r="Q24" s="34"/>
      <c r="R24" s="34"/>
      <c r="S24" s="34">
        <f t="shared" si="32"/>
        <v>0</v>
      </c>
      <c r="T24" s="121">
        <f t="shared" si="33"/>
        <v>46437</v>
      </c>
      <c r="U24" s="35">
        <f t="shared" si="34"/>
        <v>1</v>
      </c>
      <c r="V24" s="40">
        <f t="shared" si="35"/>
        <v>0</v>
      </c>
      <c r="W24" s="32"/>
      <c r="X24" s="124"/>
      <c r="Y24" s="43"/>
      <c r="Z24" s="40">
        <f t="shared" si="36"/>
        <v>0</v>
      </c>
      <c r="AA24" s="32"/>
      <c r="AB24" s="124"/>
      <c r="AC24" s="36"/>
      <c r="AD24" s="40">
        <f t="shared" si="27"/>
        <v>0</v>
      </c>
      <c r="AE24" s="32"/>
      <c r="AF24" s="124"/>
      <c r="AG24" s="36"/>
      <c r="AH24" s="40">
        <f t="shared" si="37"/>
        <v>0</v>
      </c>
      <c r="AI24" s="32"/>
      <c r="AJ24" s="124"/>
      <c r="AK24" s="36"/>
      <c r="AL24" s="40">
        <f t="shared" si="38"/>
        <v>0</v>
      </c>
      <c r="AM24" s="32"/>
      <c r="AN24" s="124"/>
      <c r="AO24" s="228"/>
      <c r="AP24" s="40">
        <f t="shared" si="39"/>
        <v>0</v>
      </c>
      <c r="AQ24" s="32"/>
      <c r="AR24" s="124"/>
      <c r="AS24" s="122"/>
      <c r="AT24" s="40">
        <f t="shared" si="40"/>
        <v>0</v>
      </c>
      <c r="AU24" s="32"/>
      <c r="AV24" s="124"/>
      <c r="AW24" s="36"/>
      <c r="AX24" s="40">
        <f t="shared" si="41"/>
        <v>0</v>
      </c>
      <c r="AY24" s="32"/>
      <c r="AZ24" s="124"/>
      <c r="BA24" s="36"/>
      <c r="BB24" s="40">
        <f t="shared" si="42"/>
        <v>0</v>
      </c>
      <c r="BC24" s="32"/>
      <c r="BD24" s="124"/>
      <c r="BE24" s="36"/>
      <c r="BF24" s="40">
        <f t="shared" si="43"/>
        <v>0</v>
      </c>
      <c r="BG24" s="32"/>
      <c r="BH24" s="124"/>
      <c r="BI24" s="36"/>
      <c r="BJ24" s="40">
        <f t="shared" si="44"/>
        <v>0</v>
      </c>
      <c r="BK24" s="32"/>
      <c r="BL24" s="124"/>
      <c r="BM24" s="36"/>
      <c r="BN24" s="40">
        <f t="shared" si="45"/>
        <v>0</v>
      </c>
      <c r="BO24" s="32"/>
      <c r="BP24" s="124"/>
      <c r="BQ24" s="36"/>
      <c r="BR24" s="37">
        <f t="shared" si="46"/>
        <v>0.90001507418653226</v>
      </c>
      <c r="BS24" s="38">
        <f t="shared" si="47"/>
        <v>41794</v>
      </c>
      <c r="BT24" s="38">
        <f t="shared" si="28"/>
        <v>0</v>
      </c>
      <c r="BU24" s="38">
        <f t="shared" si="48"/>
        <v>0</v>
      </c>
      <c r="BV24" s="39">
        <f t="shared" si="49"/>
        <v>0</v>
      </c>
      <c r="BW24" s="37" t="str">
        <f t="shared" si="50"/>
        <v/>
      </c>
      <c r="BX24" s="39">
        <f t="shared" si="51"/>
        <v>4643</v>
      </c>
      <c r="BY24" s="223">
        <f t="shared" si="52"/>
        <v>4643</v>
      </c>
      <c r="BZ24" s="223">
        <f t="shared" si="53"/>
        <v>0</v>
      </c>
    </row>
    <row r="25" spans="1:78" ht="12.75" customHeight="1" thickBot="1">
      <c r="A25" s="31" t="s">
        <v>157</v>
      </c>
      <c r="B25" s="157" t="s">
        <v>158</v>
      </c>
      <c r="C25" s="120" t="s">
        <v>112</v>
      </c>
      <c r="D25" s="44" t="s">
        <v>139</v>
      </c>
      <c r="E25" s="44" t="s">
        <v>109</v>
      </c>
      <c r="F25" s="121">
        <v>350240</v>
      </c>
      <c r="G25" s="125">
        <v>45557</v>
      </c>
      <c r="H25" s="196">
        <f>F25-I25-J25-Y25-AC25-AG25-AK25-AO25-AS25-AW25-BA25-BE25-BI25-BM25-BQ25</f>
        <v>280248</v>
      </c>
      <c r="I25" s="195">
        <f t="shared" si="30"/>
        <v>28452</v>
      </c>
      <c r="J25" s="199">
        <v>41540</v>
      </c>
      <c r="K25" s="198">
        <v>28452</v>
      </c>
      <c r="L25" s="170"/>
      <c r="M25" s="33">
        <f t="shared" si="31"/>
        <v>0.19984010963910462</v>
      </c>
      <c r="N25" s="120" t="s">
        <v>104</v>
      </c>
      <c r="O25" s="34">
        <v>0</v>
      </c>
      <c r="P25" s="34">
        <v>0</v>
      </c>
      <c r="Q25" s="34"/>
      <c r="R25" s="34"/>
      <c r="S25" s="34">
        <f t="shared" si="32"/>
        <v>0</v>
      </c>
      <c r="T25" s="121">
        <f t="shared" si="33"/>
        <v>350240</v>
      </c>
      <c r="U25" s="35">
        <f t="shared" si="34"/>
        <v>1</v>
      </c>
      <c r="V25" s="40">
        <f t="shared" si="35"/>
        <v>0</v>
      </c>
      <c r="W25" s="32"/>
      <c r="X25" s="124"/>
      <c r="Y25" s="43"/>
      <c r="Z25" s="40">
        <f t="shared" si="36"/>
        <v>0</v>
      </c>
      <c r="AA25" s="32"/>
      <c r="AB25" s="124"/>
      <c r="AC25" s="36"/>
      <c r="AD25" s="40">
        <f t="shared" si="27"/>
        <v>0</v>
      </c>
      <c r="AE25" s="32"/>
      <c r="AF25" s="124"/>
      <c r="AG25" s="36"/>
      <c r="AH25" s="40">
        <f t="shared" si="37"/>
        <v>0</v>
      </c>
      <c r="AI25" s="32"/>
      <c r="AJ25" s="124"/>
      <c r="AK25" s="36"/>
      <c r="AL25" s="40">
        <f t="shared" si="38"/>
        <v>0</v>
      </c>
      <c r="AM25" s="32"/>
      <c r="AN25" s="124"/>
      <c r="AO25" s="228"/>
      <c r="AP25" s="40">
        <f t="shared" si="39"/>
        <v>0</v>
      </c>
      <c r="AQ25" s="32"/>
      <c r="AR25" s="124"/>
      <c r="AS25" s="122"/>
      <c r="AT25" s="40">
        <f t="shared" si="40"/>
        <v>0</v>
      </c>
      <c r="AU25" s="32"/>
      <c r="AV25" s="124"/>
      <c r="AW25" s="36"/>
      <c r="AX25" s="40">
        <f t="shared" si="41"/>
        <v>0</v>
      </c>
      <c r="AY25" s="32"/>
      <c r="AZ25" s="124"/>
      <c r="BA25" s="36"/>
      <c r="BB25" s="40">
        <f t="shared" si="42"/>
        <v>0.28551850159890363</v>
      </c>
      <c r="BC25" s="32">
        <v>100000</v>
      </c>
      <c r="BD25" s="124"/>
      <c r="BE25" s="43"/>
      <c r="BF25" s="40">
        <f t="shared" si="43"/>
        <v>0</v>
      </c>
      <c r="BG25" s="32"/>
      <c r="BH25" s="124"/>
      <c r="BI25" s="36"/>
      <c r="BJ25" s="40">
        <f t="shared" si="44"/>
        <v>0</v>
      </c>
      <c r="BK25" s="385"/>
      <c r="BL25" s="124"/>
      <c r="BM25" s="36"/>
      <c r="BN25" s="40">
        <f t="shared" si="45"/>
        <v>0</v>
      </c>
      <c r="BO25" s="32"/>
      <c r="BP25" s="124"/>
      <c r="BQ25" s="36"/>
      <c r="BR25" s="37">
        <f t="shared" si="46"/>
        <v>0.80015989036089541</v>
      </c>
      <c r="BS25" s="38">
        <f t="shared" si="47"/>
        <v>180248</v>
      </c>
      <c r="BT25" s="38">
        <f t="shared" si="28"/>
        <v>100000</v>
      </c>
      <c r="BU25" s="38">
        <f t="shared" si="48"/>
        <v>0</v>
      </c>
      <c r="BV25" s="39">
        <f t="shared" si="49"/>
        <v>100000</v>
      </c>
      <c r="BW25" s="37">
        <f t="shared" si="50"/>
        <v>0</v>
      </c>
      <c r="BX25" s="39">
        <f t="shared" si="51"/>
        <v>69992</v>
      </c>
      <c r="BY25" s="223">
        <f t="shared" si="52"/>
        <v>41540</v>
      </c>
      <c r="BZ25" s="353">
        <f t="shared" si="53"/>
        <v>28452</v>
      </c>
    </row>
    <row r="26" spans="1:78" s="187" customFormat="1" ht="12.75" customHeight="1">
      <c r="A26" s="31" t="s">
        <v>159</v>
      </c>
      <c r="B26" s="157" t="s">
        <v>160</v>
      </c>
      <c r="C26" s="120" t="s">
        <v>107</v>
      </c>
      <c r="D26" s="44" t="s">
        <v>139</v>
      </c>
      <c r="E26" s="44" t="s">
        <v>125</v>
      </c>
      <c r="F26" s="121">
        <v>233200</v>
      </c>
      <c r="G26" s="125">
        <v>45566</v>
      </c>
      <c r="H26" s="196">
        <v>116760</v>
      </c>
      <c r="I26" s="195">
        <f t="shared" si="30"/>
        <v>0</v>
      </c>
      <c r="J26" s="199">
        <v>116440</v>
      </c>
      <c r="K26" s="198">
        <v>0</v>
      </c>
      <c r="L26" s="170"/>
      <c r="M26" s="33">
        <f t="shared" si="31"/>
        <v>0.49931389365351631</v>
      </c>
      <c r="N26" s="120" t="s">
        <v>104</v>
      </c>
      <c r="O26" s="34">
        <v>0</v>
      </c>
      <c r="P26" s="34">
        <v>0</v>
      </c>
      <c r="Q26" s="34"/>
      <c r="R26" s="34"/>
      <c r="S26" s="34">
        <f t="shared" si="32"/>
        <v>0</v>
      </c>
      <c r="T26" s="121">
        <f t="shared" si="33"/>
        <v>233200</v>
      </c>
      <c r="U26" s="35">
        <f t="shared" si="34"/>
        <v>1</v>
      </c>
      <c r="V26" s="40">
        <f t="shared" si="35"/>
        <v>0</v>
      </c>
      <c r="W26" s="32"/>
      <c r="X26" s="124"/>
      <c r="Y26" s="130"/>
      <c r="Z26" s="40">
        <f t="shared" si="36"/>
        <v>1.2864493996569469E-2</v>
      </c>
      <c r="AA26" s="32">
        <v>3000</v>
      </c>
      <c r="AB26" s="124"/>
      <c r="AC26" s="36">
        <v>3000</v>
      </c>
      <c r="AD26" s="40">
        <f t="shared" si="27"/>
        <v>0.24957118353344768</v>
      </c>
      <c r="AE26" s="32">
        <v>58200</v>
      </c>
      <c r="AF26" s="124"/>
      <c r="AG26" s="36">
        <v>58200</v>
      </c>
      <c r="AH26" s="40">
        <f t="shared" si="37"/>
        <v>0</v>
      </c>
      <c r="AI26" s="32"/>
      <c r="AJ26" s="124"/>
      <c r="AK26" s="36"/>
      <c r="AL26" s="40">
        <f t="shared" si="38"/>
        <v>0</v>
      </c>
      <c r="AM26" s="32"/>
      <c r="AN26" s="124"/>
      <c r="AO26" s="228"/>
      <c r="AP26" s="40">
        <f t="shared" si="39"/>
        <v>0</v>
      </c>
      <c r="AQ26" s="32"/>
      <c r="AR26" s="124"/>
      <c r="AS26" s="122"/>
      <c r="AT26" s="40">
        <f t="shared" si="40"/>
        <v>0</v>
      </c>
      <c r="AU26" s="32"/>
      <c r="AV26" s="124"/>
      <c r="AW26" s="36"/>
      <c r="AX26" s="40">
        <f t="shared" si="41"/>
        <v>0</v>
      </c>
      <c r="AY26" s="32"/>
      <c r="AZ26" s="124"/>
      <c r="BA26" s="36"/>
      <c r="BB26" s="40">
        <f t="shared" si="42"/>
        <v>0</v>
      </c>
      <c r="BC26" s="32"/>
      <c r="BD26" s="124"/>
      <c r="BE26" s="36"/>
      <c r="BF26" s="40">
        <f t="shared" si="43"/>
        <v>0</v>
      </c>
      <c r="BG26" s="32"/>
      <c r="BH26" s="124"/>
      <c r="BI26" s="36"/>
      <c r="BJ26" s="40">
        <f t="shared" si="44"/>
        <v>0</v>
      </c>
      <c r="BK26" s="32"/>
      <c r="BL26" s="124"/>
      <c r="BM26" s="36"/>
      <c r="BN26" s="40">
        <f t="shared" si="45"/>
        <v>0</v>
      </c>
      <c r="BO26" s="32"/>
      <c r="BP26" s="124"/>
      <c r="BQ26" s="36"/>
      <c r="BR26" s="37">
        <f t="shared" si="46"/>
        <v>0.23825042881646652</v>
      </c>
      <c r="BS26" s="38">
        <f t="shared" si="47"/>
        <v>55560</v>
      </c>
      <c r="BT26" s="38">
        <f t="shared" si="28"/>
        <v>61200</v>
      </c>
      <c r="BU26" s="38">
        <f t="shared" si="48"/>
        <v>61200</v>
      </c>
      <c r="BV26" s="39">
        <f t="shared" si="49"/>
        <v>0</v>
      </c>
      <c r="BW26" s="37">
        <f t="shared" si="50"/>
        <v>1</v>
      </c>
      <c r="BX26" s="39">
        <f t="shared" si="51"/>
        <v>177640</v>
      </c>
      <c r="BY26" s="223">
        <f t="shared" si="52"/>
        <v>177640</v>
      </c>
      <c r="BZ26" s="223">
        <f t="shared" si="53"/>
        <v>0</v>
      </c>
    </row>
    <row r="27" spans="1:78" s="227" customFormat="1" ht="12.75" customHeight="1" thickBot="1">
      <c r="A27" s="31" t="s">
        <v>161</v>
      </c>
      <c r="B27" s="157" t="s">
        <v>162</v>
      </c>
      <c r="C27" s="120" t="s">
        <v>107</v>
      </c>
      <c r="D27" s="44" t="s">
        <v>102</v>
      </c>
      <c r="E27" s="44" t="s">
        <v>125</v>
      </c>
      <c r="F27" s="121">
        <v>65180</v>
      </c>
      <c r="G27" s="125">
        <v>45566</v>
      </c>
      <c r="H27" s="196">
        <f>F27-I27-J27-Y27-AC27-AG27-AK27-AO27-AS27-AW27-BA27-BE27-BI27-BM27-BQ27</f>
        <v>9980</v>
      </c>
      <c r="I27" s="195">
        <f t="shared" si="30"/>
        <v>0</v>
      </c>
      <c r="J27" s="199">
        <v>55200</v>
      </c>
      <c r="K27" s="198">
        <v>0</v>
      </c>
      <c r="L27" s="170"/>
      <c r="M27" s="33">
        <f t="shared" si="31"/>
        <v>0.84688554771402269</v>
      </c>
      <c r="N27" s="120" t="s">
        <v>104</v>
      </c>
      <c r="O27" s="34">
        <v>0</v>
      </c>
      <c r="P27" s="34">
        <v>0</v>
      </c>
      <c r="Q27" s="34"/>
      <c r="R27" s="34"/>
      <c r="S27" s="34">
        <f t="shared" si="32"/>
        <v>0</v>
      </c>
      <c r="T27" s="121">
        <f>F27-O27-P27-S27</f>
        <v>65180</v>
      </c>
      <c r="U27" s="35">
        <f t="shared" si="34"/>
        <v>1</v>
      </c>
      <c r="V27" s="40">
        <f t="shared" si="35"/>
        <v>0</v>
      </c>
      <c r="W27" s="32"/>
      <c r="X27" s="124"/>
      <c r="Y27" s="130"/>
      <c r="Z27" s="40">
        <f t="shared" si="36"/>
        <v>0</v>
      </c>
      <c r="AA27" s="32"/>
      <c r="AB27" s="124"/>
      <c r="AC27" s="36"/>
      <c r="AD27" s="40">
        <f t="shared" si="27"/>
        <v>0</v>
      </c>
      <c r="AE27" s="32"/>
      <c r="AF27" s="124"/>
      <c r="AG27" s="36"/>
      <c r="AH27" s="40">
        <f t="shared" si="37"/>
        <v>0</v>
      </c>
      <c r="AI27" s="32"/>
      <c r="AJ27" s="124"/>
      <c r="AK27" s="36"/>
      <c r="AL27" s="40">
        <f t="shared" si="38"/>
        <v>0</v>
      </c>
      <c r="AM27" s="32"/>
      <c r="AN27" s="124"/>
      <c r="AO27" s="228"/>
      <c r="AP27" s="40">
        <f t="shared" si="39"/>
        <v>0</v>
      </c>
      <c r="AQ27" s="32"/>
      <c r="AR27" s="124"/>
      <c r="AS27" s="122"/>
      <c r="AT27" s="40">
        <f t="shared" si="40"/>
        <v>0</v>
      </c>
      <c r="AU27" s="32"/>
      <c r="AV27" s="124"/>
      <c r="AW27" s="36"/>
      <c r="AX27" s="40">
        <f t="shared" si="41"/>
        <v>0</v>
      </c>
      <c r="AY27" s="32"/>
      <c r="AZ27" s="124"/>
      <c r="BA27" s="36"/>
      <c r="BB27" s="40">
        <f t="shared" si="42"/>
        <v>0</v>
      </c>
      <c r="BC27" s="32"/>
      <c r="BD27" s="124"/>
      <c r="BE27" s="36"/>
      <c r="BF27" s="40">
        <f t="shared" si="43"/>
        <v>0</v>
      </c>
      <c r="BG27" s="32"/>
      <c r="BH27" s="124"/>
      <c r="BI27" s="36"/>
      <c r="BJ27" s="40">
        <f t="shared" si="44"/>
        <v>0</v>
      </c>
      <c r="BK27" s="32"/>
      <c r="BL27" s="124"/>
      <c r="BM27" s="36"/>
      <c r="BN27" s="40">
        <f t="shared" si="45"/>
        <v>0</v>
      </c>
      <c r="BO27" s="32"/>
      <c r="BP27" s="124"/>
      <c r="BQ27" s="36"/>
      <c r="BR27" s="37">
        <f t="shared" si="46"/>
        <v>0.15311445228597731</v>
      </c>
      <c r="BS27" s="38">
        <f t="shared" si="47"/>
        <v>9980</v>
      </c>
      <c r="BT27" s="38">
        <f t="shared" si="28"/>
        <v>0</v>
      </c>
      <c r="BU27" s="38">
        <f t="shared" si="48"/>
        <v>0</v>
      </c>
      <c r="BV27" s="39">
        <f t="shared" si="49"/>
        <v>0</v>
      </c>
      <c r="BW27" s="37" t="str">
        <f t="shared" si="50"/>
        <v/>
      </c>
      <c r="BX27" s="39">
        <f t="shared" si="51"/>
        <v>55200</v>
      </c>
      <c r="BY27" s="223">
        <f>J27+Y27+AC27+AG27+AK27+AO27+AS27+AW27+BA27+BE27+BI27+BM27+BQ27</f>
        <v>55200</v>
      </c>
      <c r="BZ27" s="223">
        <f t="shared" si="53"/>
        <v>0</v>
      </c>
    </row>
    <row r="28" spans="1:78" ht="12.75" customHeight="1" thickBot="1">
      <c r="A28" s="31" t="s">
        <v>163</v>
      </c>
      <c r="B28" s="157" t="s">
        <v>164</v>
      </c>
      <c r="C28" s="120" t="s">
        <v>120</v>
      </c>
      <c r="D28" s="44" t="s">
        <v>139</v>
      </c>
      <c r="E28" s="44" t="s">
        <v>103</v>
      </c>
      <c r="F28" s="121">
        <v>300000</v>
      </c>
      <c r="G28" s="125">
        <v>45627</v>
      </c>
      <c r="H28" s="196">
        <f t="shared" si="29"/>
        <v>75000</v>
      </c>
      <c r="I28" s="195">
        <f t="shared" si="30"/>
        <v>75000</v>
      </c>
      <c r="J28" s="199">
        <v>150000</v>
      </c>
      <c r="K28" s="198">
        <v>0</v>
      </c>
      <c r="L28" s="170"/>
      <c r="M28" s="33">
        <f t="shared" si="31"/>
        <v>0.5</v>
      </c>
      <c r="N28" s="120" t="s">
        <v>104</v>
      </c>
      <c r="O28" s="34">
        <v>0</v>
      </c>
      <c r="P28" s="34">
        <v>0</v>
      </c>
      <c r="Q28" s="34"/>
      <c r="R28" s="34"/>
      <c r="S28" s="34">
        <f t="shared" si="32"/>
        <v>0</v>
      </c>
      <c r="T28" s="121">
        <f t="shared" si="33"/>
        <v>300000</v>
      </c>
      <c r="U28" s="35">
        <f t="shared" si="34"/>
        <v>1</v>
      </c>
      <c r="V28" s="40">
        <f t="shared" si="35"/>
        <v>0</v>
      </c>
      <c r="W28" s="32"/>
      <c r="X28" s="124"/>
      <c r="Y28" s="43"/>
      <c r="Z28" s="40">
        <f t="shared" si="36"/>
        <v>0.25</v>
      </c>
      <c r="AA28" s="32">
        <v>75000</v>
      </c>
      <c r="AB28" s="124"/>
      <c r="AC28" s="36"/>
      <c r="AD28" s="40">
        <f t="shared" si="27"/>
        <v>0.25</v>
      </c>
      <c r="AE28" s="32">
        <v>75000</v>
      </c>
      <c r="AF28" s="124">
        <v>75000</v>
      </c>
      <c r="AG28" s="36"/>
      <c r="AH28" s="40">
        <f t="shared" si="37"/>
        <v>0</v>
      </c>
      <c r="AI28" s="32"/>
      <c r="AJ28" s="124"/>
      <c r="AK28" s="36"/>
      <c r="AL28" s="40">
        <f t="shared" si="38"/>
        <v>0.16666666666666666</v>
      </c>
      <c r="AM28" s="32">
        <v>50000</v>
      </c>
      <c r="AN28" s="124"/>
      <c r="AO28" s="228"/>
      <c r="AP28" s="40">
        <f t="shared" si="39"/>
        <v>0</v>
      </c>
      <c r="AQ28" s="32"/>
      <c r="AR28" s="124"/>
      <c r="AS28" s="122"/>
      <c r="AT28" s="40">
        <f t="shared" si="40"/>
        <v>0</v>
      </c>
      <c r="AU28" s="32"/>
      <c r="AV28" s="124"/>
      <c r="AW28" s="36"/>
      <c r="AX28" s="40">
        <f t="shared" si="41"/>
        <v>0</v>
      </c>
      <c r="AY28" s="32"/>
      <c r="AZ28" s="124"/>
      <c r="BA28" s="36"/>
      <c r="BB28" s="40">
        <f t="shared" si="42"/>
        <v>0</v>
      </c>
      <c r="BC28" s="32"/>
      <c r="BD28" s="124"/>
      <c r="BE28" s="36"/>
      <c r="BF28" s="40">
        <f t="shared" si="43"/>
        <v>0</v>
      </c>
      <c r="BG28" s="32"/>
      <c r="BH28" s="124"/>
      <c r="BI28" s="36"/>
      <c r="BJ28" s="40">
        <f t="shared" si="44"/>
        <v>0</v>
      </c>
      <c r="BK28" s="32"/>
      <c r="BL28" s="218"/>
      <c r="BM28" s="219"/>
      <c r="BN28" s="40">
        <f t="shared" si="45"/>
        <v>0</v>
      </c>
      <c r="BO28" s="32"/>
      <c r="BP28" s="124"/>
      <c r="BQ28" s="36"/>
      <c r="BR28" s="37">
        <f t="shared" si="46"/>
        <v>0.25</v>
      </c>
      <c r="BS28" s="38">
        <f t="shared" si="47"/>
        <v>-50000</v>
      </c>
      <c r="BT28" s="38">
        <f t="shared" si="28"/>
        <v>200000</v>
      </c>
      <c r="BU28" s="38">
        <f t="shared" si="48"/>
        <v>75000</v>
      </c>
      <c r="BV28" s="39">
        <f t="shared" si="49"/>
        <v>125000</v>
      </c>
      <c r="BW28" s="37">
        <f t="shared" si="50"/>
        <v>0.375</v>
      </c>
      <c r="BX28" s="39">
        <f t="shared" si="51"/>
        <v>225000</v>
      </c>
      <c r="BY28" s="223">
        <f t="shared" si="52"/>
        <v>150000</v>
      </c>
      <c r="BZ28" s="361">
        <f t="shared" si="53"/>
        <v>75000</v>
      </c>
    </row>
    <row r="29" spans="1:78" ht="12.75" customHeight="1">
      <c r="A29" s="31" t="s">
        <v>165</v>
      </c>
      <c r="B29" s="157" t="s">
        <v>166</v>
      </c>
      <c r="C29" s="120" t="s">
        <v>167</v>
      </c>
      <c r="D29" s="44" t="s">
        <v>139</v>
      </c>
      <c r="E29" s="44" t="s">
        <v>136</v>
      </c>
      <c r="F29" s="121">
        <v>177600</v>
      </c>
      <c r="G29" s="125">
        <v>45638</v>
      </c>
      <c r="H29" s="196">
        <f t="shared" si="29"/>
        <v>20000</v>
      </c>
      <c r="I29" s="195">
        <f>K29+X29+AB29+AF29+AJ29+AN29+AR29+AV29+AZ29+BD29+BH29+BL29+BP29</f>
        <v>0</v>
      </c>
      <c r="J29" s="199">
        <v>102560</v>
      </c>
      <c r="K29" s="198">
        <v>0</v>
      </c>
      <c r="L29" s="170"/>
      <c r="M29" s="33">
        <f t="shared" si="31"/>
        <v>0.57747747747747746</v>
      </c>
      <c r="N29" s="120" t="s">
        <v>104</v>
      </c>
      <c r="O29" s="34">
        <v>0</v>
      </c>
      <c r="P29" s="34">
        <v>0</v>
      </c>
      <c r="Q29" s="34"/>
      <c r="R29" s="34"/>
      <c r="S29" s="34">
        <f t="shared" si="32"/>
        <v>0</v>
      </c>
      <c r="T29" s="121">
        <f>F29-O29-P29-S29</f>
        <v>177600</v>
      </c>
      <c r="U29" s="35">
        <f t="shared" si="34"/>
        <v>1</v>
      </c>
      <c r="V29" s="40">
        <f t="shared" si="35"/>
        <v>0</v>
      </c>
      <c r="W29" s="32"/>
      <c r="X29" s="124"/>
      <c r="Y29" s="43"/>
      <c r="Z29" s="40">
        <f t="shared" si="36"/>
        <v>0</v>
      </c>
      <c r="AA29" s="32"/>
      <c r="AB29" s="124"/>
      <c r="AC29" s="36"/>
      <c r="AD29" s="40">
        <f t="shared" si="27"/>
        <v>0.30990990990990991</v>
      </c>
      <c r="AE29" s="32">
        <v>55040</v>
      </c>
      <c r="AF29" s="124"/>
      <c r="AG29" s="36">
        <v>55040</v>
      </c>
      <c r="AH29" s="40">
        <f t="shared" si="37"/>
        <v>0.11261261261261261</v>
      </c>
      <c r="AI29" s="32">
        <v>20000</v>
      </c>
      <c r="AJ29" s="124"/>
      <c r="AK29" s="36"/>
      <c r="AL29" s="40">
        <f t="shared" si="38"/>
        <v>0</v>
      </c>
      <c r="AM29" s="32"/>
      <c r="AN29" s="124"/>
      <c r="AO29" s="36"/>
      <c r="AP29" s="40">
        <f t="shared" si="39"/>
        <v>0</v>
      </c>
      <c r="AQ29" s="32"/>
      <c r="AR29" s="124"/>
      <c r="AS29" s="122"/>
      <c r="AT29" s="40">
        <f t="shared" si="40"/>
        <v>0</v>
      </c>
      <c r="AU29" s="32"/>
      <c r="AV29" s="124"/>
      <c r="AW29" s="36"/>
      <c r="AX29" s="40">
        <f t="shared" si="41"/>
        <v>0</v>
      </c>
      <c r="AY29" s="32"/>
      <c r="AZ29" s="124"/>
      <c r="BA29" s="36"/>
      <c r="BB29" s="40">
        <f t="shared" si="42"/>
        <v>0</v>
      </c>
      <c r="BC29" s="32"/>
      <c r="BD29" s="124"/>
      <c r="BE29" s="36"/>
      <c r="BF29" s="40">
        <f t="shared" si="43"/>
        <v>0</v>
      </c>
      <c r="BG29" s="32"/>
      <c r="BH29" s="124"/>
      <c r="BI29" s="36"/>
      <c r="BJ29" s="40">
        <f t="shared" si="44"/>
        <v>0</v>
      </c>
      <c r="BK29" s="32"/>
      <c r="BL29" s="124"/>
      <c r="BM29" s="36"/>
      <c r="BN29" s="40">
        <f t="shared" si="45"/>
        <v>0</v>
      </c>
      <c r="BO29" s="32"/>
      <c r="BP29" s="124"/>
      <c r="BQ29" s="43"/>
      <c r="BR29" s="37">
        <f>IF(F29=0, "",1-((J29+K29+X29+Y29+AB29+AC29+AF29+AG29+AJ29+AK29+AN29+AO29+AR29+AS29+AV29+AW29+AZ29+BA29+BD29+BE29+BH29+BI29+BL29+BM29+BP29+BQ29)/F29))</f>
        <v>0.11261261261261257</v>
      </c>
      <c r="BS29" s="38">
        <f t="shared" si="47"/>
        <v>0</v>
      </c>
      <c r="BT29" s="38">
        <f t="shared" si="28"/>
        <v>75040</v>
      </c>
      <c r="BU29" s="38">
        <f>(X29+Y29+AB29+AC29+AF29+AG29+AJ29+AK29+AN29+AO29+AR29+AS29+AV29+AW29+AZ29+BA29+BD29+BE29+BH29+BI29+BL29+BM29+BP29+BQ29)</f>
        <v>55040</v>
      </c>
      <c r="BV29" s="39">
        <f t="shared" si="49"/>
        <v>20000</v>
      </c>
      <c r="BW29" s="37">
        <f t="shared" si="50"/>
        <v>0.73347547974413652</v>
      </c>
      <c r="BX29" s="39">
        <f t="shared" si="51"/>
        <v>157600</v>
      </c>
      <c r="BY29" s="223">
        <f t="shared" si="52"/>
        <v>157600</v>
      </c>
      <c r="BZ29" s="223">
        <f>K29+X29+AB29+AF29+AJ29+AN29+AR29+AV29+AZ29+BD29+BH29+BL29+BP29</f>
        <v>0</v>
      </c>
    </row>
    <row r="30" spans="1:78" ht="12.75" customHeight="1" thickBot="1">
      <c r="A30" s="31" t="s">
        <v>168</v>
      </c>
      <c r="B30" s="157" t="s">
        <v>169</v>
      </c>
      <c r="C30" s="120" t="s">
        <v>107</v>
      </c>
      <c r="D30" s="44" t="s">
        <v>139</v>
      </c>
      <c r="E30" s="44" t="s">
        <v>136</v>
      </c>
      <c r="F30" s="121">
        <v>99076</v>
      </c>
      <c r="G30" s="125">
        <v>45638</v>
      </c>
      <c r="H30" s="196">
        <f>33045.6-14000</f>
        <v>19045.599999999999</v>
      </c>
      <c r="I30" s="195">
        <f>K30+X30+AB30+AF30+AJ30+AN30+AR30+AV30+AZ30+BD30+BH30+BL30+BP30</f>
        <v>14000</v>
      </c>
      <c r="J30" s="199">
        <v>66030.399999999994</v>
      </c>
      <c r="K30" s="198">
        <v>14000</v>
      </c>
      <c r="L30" s="170"/>
      <c r="M30" s="33">
        <f t="shared" si="31"/>
        <v>0.80776777423392132</v>
      </c>
      <c r="N30" s="120" t="s">
        <v>104</v>
      </c>
      <c r="O30" s="34">
        <v>0</v>
      </c>
      <c r="P30" s="34">
        <v>0</v>
      </c>
      <c r="Q30" s="34"/>
      <c r="R30" s="34"/>
      <c r="S30" s="34">
        <f t="shared" si="32"/>
        <v>0</v>
      </c>
      <c r="T30" s="121">
        <f t="shared" si="33"/>
        <v>99076</v>
      </c>
      <c r="U30" s="35">
        <f t="shared" si="34"/>
        <v>1</v>
      </c>
      <c r="V30" s="40">
        <f t="shared" si="35"/>
        <v>0</v>
      </c>
      <c r="W30" s="32"/>
      <c r="X30" s="124"/>
      <c r="Y30" s="43"/>
      <c r="Z30" s="40">
        <f t="shared" si="36"/>
        <v>0</v>
      </c>
      <c r="AA30" s="32"/>
      <c r="AB30" s="124"/>
      <c r="AC30" s="36"/>
      <c r="AD30" s="40">
        <f t="shared" ref="AD30:AD57" si="54" xml:space="preserve"> IF(F30=0,"",(AE30/F30))</f>
        <v>0</v>
      </c>
      <c r="AE30" s="32"/>
      <c r="AF30" s="124"/>
      <c r="AG30" s="36"/>
      <c r="AH30" s="40">
        <f t="shared" si="37"/>
        <v>0</v>
      </c>
      <c r="AI30" s="32"/>
      <c r="AJ30" s="124"/>
      <c r="AK30" s="36"/>
      <c r="AL30" s="40">
        <f t="shared" si="38"/>
        <v>0.33354192740926158</v>
      </c>
      <c r="AM30" s="32">
        <v>33046</v>
      </c>
      <c r="AN30" s="124"/>
      <c r="AO30" s="228"/>
      <c r="AP30" s="40">
        <f t="shared" si="39"/>
        <v>0</v>
      </c>
      <c r="AQ30" s="32"/>
      <c r="AR30" s="124"/>
      <c r="AS30" s="122"/>
      <c r="AT30" s="40">
        <f t="shared" si="40"/>
        <v>0</v>
      </c>
      <c r="AU30" s="32"/>
      <c r="AV30" s="124"/>
      <c r="AW30" s="36"/>
      <c r="AX30" s="40">
        <f t="shared" si="41"/>
        <v>0</v>
      </c>
      <c r="AY30" s="32"/>
      <c r="AZ30" s="124"/>
      <c r="BA30" s="36"/>
      <c r="BB30" s="40">
        <f t="shared" si="42"/>
        <v>0</v>
      </c>
      <c r="BC30" s="32"/>
      <c r="BD30" s="124"/>
      <c r="BE30" s="36"/>
      <c r="BF30" s="40">
        <f t="shared" si="43"/>
        <v>0</v>
      </c>
      <c r="BG30" s="32"/>
      <c r="BH30" s="124"/>
      <c r="BI30" s="36"/>
      <c r="BJ30" s="40">
        <f t="shared" si="44"/>
        <v>0</v>
      </c>
      <c r="BK30" s="354"/>
      <c r="BL30" s="124"/>
      <c r="BM30" s="36"/>
      <c r="BN30" s="40">
        <f t="shared" si="45"/>
        <v>0</v>
      </c>
      <c r="BO30" s="32"/>
      <c r="BP30" s="124"/>
      <c r="BQ30" s="43"/>
      <c r="BR30" s="37">
        <f>IF(F30=0, "",1-((J30+K30+X30+Y30+AB30+AC30+AF30+AG30+AJ30+AK30+AN30+AO30+AR30+AS30+AV30+AW30+AZ30+BA30+BD30+BE30+BH30+BI30+BL30+BM30+BP30+BQ30)/F30))</f>
        <v>0.19223222576607868</v>
      </c>
      <c r="BS30" s="38">
        <f t="shared" si="47"/>
        <v>-0.39999999999417923</v>
      </c>
      <c r="BT30" s="38">
        <v>19046</v>
      </c>
      <c r="BU30" s="38">
        <f>(X30+Y30+AB30+AC30+AF30+AG30+AJ30+AK30+AN30+AO30+AR30+AS30+AV30+AW30+AZ30+BA30+BD30+BE30+BH30+BI30+BL30+BM30+BP30+BQ30)</f>
        <v>0</v>
      </c>
      <c r="BV30" s="39">
        <f>BT30-BU30</f>
        <v>19046</v>
      </c>
      <c r="BW30" s="37">
        <f t="shared" si="50"/>
        <v>0</v>
      </c>
      <c r="BX30" s="39">
        <f>BY30+BZ30</f>
        <v>80030.399999999994</v>
      </c>
      <c r="BY30" s="223">
        <f t="shared" si="52"/>
        <v>66030.399999999994</v>
      </c>
      <c r="BZ30" s="352">
        <v>14000</v>
      </c>
    </row>
    <row r="31" spans="1:78" ht="12.75" customHeight="1" thickBot="1">
      <c r="A31" s="31" t="s">
        <v>170</v>
      </c>
      <c r="B31" s="157" t="s">
        <v>171</v>
      </c>
      <c r="C31" s="120" t="s">
        <v>124</v>
      </c>
      <c r="D31" s="44" t="s">
        <v>102</v>
      </c>
      <c r="E31" s="44" t="s">
        <v>125</v>
      </c>
      <c r="F31" s="121">
        <v>408960.4</v>
      </c>
      <c r="G31" s="125">
        <v>45658</v>
      </c>
      <c r="H31" s="196">
        <v>234384.42</v>
      </c>
      <c r="I31" s="195">
        <f t="shared" si="30"/>
        <v>0</v>
      </c>
      <c r="J31" s="199">
        <v>174575.98</v>
      </c>
      <c r="K31" s="198">
        <v>0</v>
      </c>
      <c r="L31" s="170"/>
      <c r="M31" s="33">
        <f t="shared" si="31"/>
        <v>0.42687746784285224</v>
      </c>
      <c r="N31" s="120" t="s">
        <v>104</v>
      </c>
      <c r="O31" s="34">
        <v>0</v>
      </c>
      <c r="P31" s="34">
        <v>0</v>
      </c>
      <c r="Q31" s="34"/>
      <c r="R31" s="34"/>
      <c r="S31" s="34">
        <f t="shared" si="32"/>
        <v>0</v>
      </c>
      <c r="T31" s="121">
        <f t="shared" si="33"/>
        <v>408960.4</v>
      </c>
      <c r="U31" s="35">
        <f t="shared" si="34"/>
        <v>1</v>
      </c>
      <c r="V31" s="40">
        <f t="shared" si="35"/>
        <v>0</v>
      </c>
      <c r="W31" s="32"/>
      <c r="X31" s="124"/>
      <c r="Y31" s="130"/>
      <c r="Z31" s="40">
        <f t="shared" si="36"/>
        <v>0</v>
      </c>
      <c r="AA31" s="32"/>
      <c r="AB31" s="124"/>
      <c r="AC31" s="36"/>
      <c r="AD31" s="40">
        <f t="shared" si="54"/>
        <v>0</v>
      </c>
      <c r="AE31" s="32"/>
      <c r="AF31" s="124"/>
      <c r="AG31" s="36"/>
      <c r="AH31" s="40">
        <f t="shared" si="37"/>
        <v>0</v>
      </c>
      <c r="AI31" s="32"/>
      <c r="AJ31" s="124"/>
      <c r="AK31" s="36"/>
      <c r="AL31" s="40">
        <f t="shared" si="38"/>
        <v>0</v>
      </c>
      <c r="AM31" s="32"/>
      <c r="AN31" s="124"/>
      <c r="AO31" s="228"/>
      <c r="AP31" s="40">
        <f t="shared" si="39"/>
        <v>0.19072751298169699</v>
      </c>
      <c r="AQ31" s="32">
        <v>78000</v>
      </c>
      <c r="AR31" s="124"/>
      <c r="AS31" s="122"/>
      <c r="AT31" s="40">
        <f t="shared" si="40"/>
        <v>0.23079007160595499</v>
      </c>
      <c r="AU31" s="32">
        <v>94384</v>
      </c>
      <c r="AV31" s="124"/>
      <c r="AW31" s="36"/>
      <c r="AX31" s="40">
        <f t="shared" si="41"/>
        <v>0</v>
      </c>
      <c r="AY31" s="32"/>
      <c r="AZ31" s="124"/>
      <c r="BA31" s="36"/>
      <c r="BB31" s="40">
        <f t="shared" si="42"/>
        <v>0</v>
      </c>
      <c r="BC31" s="32"/>
      <c r="BD31" s="185"/>
      <c r="BE31" s="36"/>
      <c r="BF31" s="40">
        <f t="shared" si="43"/>
        <v>0.19561796203250975</v>
      </c>
      <c r="BG31" s="32">
        <v>80000</v>
      </c>
      <c r="BH31" s="124"/>
      <c r="BI31" s="36"/>
      <c r="BJ31" s="40">
        <f t="shared" si="44"/>
        <v>0</v>
      </c>
      <c r="BK31" s="32"/>
      <c r="BL31" s="124"/>
      <c r="BM31" s="36"/>
      <c r="BN31" s="40">
        <f t="shared" si="45"/>
        <v>0</v>
      </c>
      <c r="BO31" s="32"/>
      <c r="BP31" s="124"/>
      <c r="BQ31" s="36"/>
      <c r="BR31" s="37">
        <f t="shared" si="46"/>
        <v>0.57312253215714781</v>
      </c>
      <c r="BS31" s="38">
        <f>F31-BT31-J31-K31</f>
        <v>-17999.579999999987</v>
      </c>
      <c r="BT31" s="38">
        <f t="shared" ref="BT31:BT51" si="55">W31+AA31+AE31+AI31+AM31+AQ31+AU31+AY31+BC31+BG31+BK31+BO31</f>
        <v>252384</v>
      </c>
      <c r="BU31" s="38">
        <f t="shared" si="48"/>
        <v>0</v>
      </c>
      <c r="BV31" s="39">
        <f t="shared" si="49"/>
        <v>252384</v>
      </c>
      <c r="BW31" s="37">
        <f t="shared" si="50"/>
        <v>0</v>
      </c>
      <c r="BX31" s="39">
        <f t="shared" si="51"/>
        <v>174575.98</v>
      </c>
      <c r="BY31" s="223">
        <f t="shared" si="52"/>
        <v>174575.98</v>
      </c>
      <c r="BZ31" s="39">
        <f t="shared" si="53"/>
        <v>0</v>
      </c>
    </row>
    <row r="32" spans="1:78" ht="12.75" customHeight="1" thickBot="1">
      <c r="A32" s="31" t="s">
        <v>172</v>
      </c>
      <c r="B32" s="157" t="s">
        <v>173</v>
      </c>
      <c r="C32" s="120" t="s">
        <v>150</v>
      </c>
      <c r="D32" s="44" t="s">
        <v>139</v>
      </c>
      <c r="E32" s="44" t="s">
        <v>136</v>
      </c>
      <c r="F32" s="121">
        <v>92000</v>
      </c>
      <c r="G32" s="125">
        <v>45658</v>
      </c>
      <c r="H32" s="196">
        <f>F32-I32-J32-Y32-AC32-AG32-AK32-AO32-AS32-AW32-BA32-BE32-BI32-BM32-BQ32</f>
        <v>27600</v>
      </c>
      <c r="I32" s="195">
        <f t="shared" si="30"/>
        <v>55200</v>
      </c>
      <c r="J32" s="197">
        <v>9200</v>
      </c>
      <c r="K32" s="198">
        <v>55200</v>
      </c>
      <c r="L32" s="170"/>
      <c r="M32" s="33">
        <f t="shared" si="31"/>
        <v>0.7</v>
      </c>
      <c r="N32" s="120" t="s">
        <v>104</v>
      </c>
      <c r="O32" s="34">
        <v>0</v>
      </c>
      <c r="P32" s="34">
        <v>0</v>
      </c>
      <c r="Q32" s="34"/>
      <c r="R32" s="34"/>
      <c r="S32" s="34">
        <f t="shared" si="32"/>
        <v>0</v>
      </c>
      <c r="T32" s="121">
        <f t="shared" si="33"/>
        <v>92000</v>
      </c>
      <c r="U32" s="35">
        <f t="shared" si="34"/>
        <v>1</v>
      </c>
      <c r="V32" s="40">
        <f t="shared" si="35"/>
        <v>0</v>
      </c>
      <c r="W32" s="32"/>
      <c r="X32" s="124"/>
      <c r="Y32" s="36"/>
      <c r="Z32" s="40">
        <f t="shared" si="36"/>
        <v>0</v>
      </c>
      <c r="AA32" s="32"/>
      <c r="AB32" s="124"/>
      <c r="AC32" s="36"/>
      <c r="AD32" s="40">
        <f t="shared" si="54"/>
        <v>0</v>
      </c>
      <c r="AE32" s="32"/>
      <c r="AF32" s="124"/>
      <c r="AG32" s="36"/>
      <c r="AH32" s="40">
        <f t="shared" si="37"/>
        <v>0</v>
      </c>
      <c r="AI32" s="32"/>
      <c r="AJ32" s="124"/>
      <c r="AK32" s="36"/>
      <c r="AL32" s="40">
        <f t="shared" si="38"/>
        <v>0</v>
      </c>
      <c r="AM32" s="32"/>
      <c r="AN32" s="124"/>
      <c r="AO32" s="228"/>
      <c r="AP32" s="40">
        <f t="shared" si="39"/>
        <v>0.3</v>
      </c>
      <c r="AQ32" s="32">
        <v>27600</v>
      </c>
      <c r="AR32" s="124"/>
      <c r="AS32" s="122"/>
      <c r="AT32" s="40">
        <f t="shared" si="40"/>
        <v>0</v>
      </c>
      <c r="AU32" s="32"/>
      <c r="AV32" s="124"/>
      <c r="AW32" s="36"/>
      <c r="AX32" s="40">
        <f t="shared" si="41"/>
        <v>0</v>
      </c>
      <c r="AY32" s="32"/>
      <c r="AZ32" s="124"/>
      <c r="BA32" s="36"/>
      <c r="BB32" s="40">
        <f t="shared" si="42"/>
        <v>0</v>
      </c>
      <c r="BC32" s="32"/>
      <c r="BD32" s="124"/>
      <c r="BE32" s="36"/>
      <c r="BF32" s="40">
        <f t="shared" si="43"/>
        <v>0</v>
      </c>
      <c r="BG32" s="32"/>
      <c r="BH32" s="124"/>
      <c r="BI32" s="36"/>
      <c r="BJ32" s="40">
        <f t="shared" si="44"/>
        <v>0</v>
      </c>
      <c r="BK32" s="32"/>
      <c r="BL32" s="124"/>
      <c r="BM32" s="36"/>
      <c r="BN32" s="40">
        <f t="shared" si="45"/>
        <v>0</v>
      </c>
      <c r="BO32" s="32"/>
      <c r="BP32" s="124"/>
      <c r="BQ32" s="36"/>
      <c r="BR32" s="37">
        <f t="shared" si="46"/>
        <v>0.30000000000000004</v>
      </c>
      <c r="BS32" s="38">
        <f>F32-BT32-J32-K32</f>
        <v>0</v>
      </c>
      <c r="BT32" s="38">
        <f t="shared" si="55"/>
        <v>27600</v>
      </c>
      <c r="BU32" s="38">
        <f t="shared" si="48"/>
        <v>0</v>
      </c>
      <c r="BV32" s="39">
        <f t="shared" si="49"/>
        <v>27600</v>
      </c>
      <c r="BW32" s="37">
        <f t="shared" si="50"/>
        <v>0</v>
      </c>
      <c r="BX32" s="39">
        <f t="shared" si="51"/>
        <v>64400</v>
      </c>
      <c r="BY32" s="223">
        <f t="shared" si="52"/>
        <v>9200</v>
      </c>
      <c r="BZ32" s="352">
        <f t="shared" si="53"/>
        <v>55200</v>
      </c>
    </row>
    <row r="33" spans="1:78" ht="12.75" customHeight="1" thickBot="1">
      <c r="A33" s="31" t="s">
        <v>174</v>
      </c>
      <c r="B33" s="157" t="s">
        <v>175</v>
      </c>
      <c r="C33" s="120" t="s">
        <v>176</v>
      </c>
      <c r="D33" s="44" t="s">
        <v>139</v>
      </c>
      <c r="E33" s="44" t="s">
        <v>136</v>
      </c>
      <c r="F33" s="121">
        <v>2962641</v>
      </c>
      <c r="G33" s="125">
        <v>45700</v>
      </c>
      <c r="H33" s="196">
        <f>F33-I33-J33-Y33-AC33-AG33-AK33-AO33-AS33-AW33-BA33-BE33-BI33-BM33-BQ33</f>
        <v>-384526</v>
      </c>
      <c r="I33" s="195">
        <f t="shared" ref="I33:I51" si="56">K33+X33+AB33+AF33+AJ33+AN33+AR33+AV33+AZ33+BD33+BH33+BL33+BP33</f>
        <v>300000</v>
      </c>
      <c r="J33" s="199">
        <v>2607805</v>
      </c>
      <c r="K33" s="198">
        <v>500000</v>
      </c>
      <c r="L33" s="170"/>
      <c r="M33" s="33">
        <f t="shared" ref="M33:M52" si="57">IF(F33=0,0,(J33+K33)/F33)</f>
        <v>1.048998174264111</v>
      </c>
      <c r="N33" s="120" t="s">
        <v>104</v>
      </c>
      <c r="O33" s="34">
        <v>0</v>
      </c>
      <c r="P33" s="34">
        <v>0</v>
      </c>
      <c r="Q33" s="34"/>
      <c r="R33" s="34"/>
      <c r="S33" s="34">
        <f t="shared" ref="S33:S52" si="58">(L33*R33)+(Q33*R33)</f>
        <v>0</v>
      </c>
      <c r="T33" s="121">
        <f t="shared" ref="T33:T52" si="59">F33-O33-P33-S33</f>
        <v>2962641</v>
      </c>
      <c r="U33" s="35">
        <f t="shared" ref="U33:U34" si="60">IF(F33=0,"",(T33/F33))</f>
        <v>1</v>
      </c>
      <c r="V33" s="40">
        <f t="shared" ref="V33:V34" si="61" xml:space="preserve"> IF(F33=0,"",(W33/F33))</f>
        <v>0</v>
      </c>
      <c r="W33" s="32"/>
      <c r="X33" s="124"/>
      <c r="Y33" s="36"/>
      <c r="Z33" s="40">
        <f t="shared" ref="Z33:Z57" si="62" xml:space="preserve"> IF(F33=0,"",(AA33/F33))</f>
        <v>0</v>
      </c>
      <c r="AA33" s="32"/>
      <c r="AB33" s="124"/>
      <c r="AC33" s="36"/>
      <c r="AD33" s="40">
        <f t="shared" si="54"/>
        <v>0.14830078973456454</v>
      </c>
      <c r="AE33" s="32">
        <v>439362</v>
      </c>
      <c r="AF33" s="124">
        <v>-200000</v>
      </c>
      <c r="AG33" s="36">
        <v>439362</v>
      </c>
      <c r="AH33" s="40">
        <f t="shared" ref="AH33:AH57" si="63" xml:space="preserve"> IF(F33=0, "", (AI33/F33))</f>
        <v>0</v>
      </c>
      <c r="AI33" s="32"/>
      <c r="AJ33" s="124"/>
      <c r="AK33" s="36"/>
      <c r="AL33" s="40">
        <f t="shared" ref="AL33:AL52" si="64" xml:space="preserve"> IF(F33=0,"",(AM33/F33))</f>
        <v>0</v>
      </c>
      <c r="AM33" s="32"/>
      <c r="AN33" s="124"/>
      <c r="AO33" s="228"/>
      <c r="AP33" s="40">
        <f t="shared" ref="AP33:AP52" si="65" xml:space="preserve"> IF(F33=0,"",(AQ33/F33))</f>
        <v>0</v>
      </c>
      <c r="AQ33" s="32"/>
      <c r="AR33" s="124"/>
      <c r="AS33" s="122"/>
      <c r="AT33" s="40">
        <f t="shared" ref="AT33:AT51" si="66" xml:space="preserve"> IF(F33=0,"",(AU33/F33))</f>
        <v>0</v>
      </c>
      <c r="AU33" s="32"/>
      <c r="AV33" s="124"/>
      <c r="AW33" s="36"/>
      <c r="AX33" s="40">
        <f t="shared" ref="AX33:AX52" si="67" xml:space="preserve"> IF(F33=0,"",(AY33/F33))</f>
        <v>0</v>
      </c>
      <c r="AY33" s="32"/>
      <c r="AZ33" s="124"/>
      <c r="BA33" s="36"/>
      <c r="BB33" s="40">
        <f t="shared" ref="BB33:BB52" si="68" xml:space="preserve"> IF(F33=0,"",(BC33/F33))</f>
        <v>0</v>
      </c>
      <c r="BC33" s="32"/>
      <c r="BD33" s="124"/>
      <c r="BE33" s="36"/>
      <c r="BF33" s="40">
        <f t="shared" ref="BF33:BF52" si="69" xml:space="preserve"> IF(F33=0,"",(BG33/F33))</f>
        <v>0</v>
      </c>
      <c r="BG33" s="32"/>
      <c r="BH33" s="124"/>
      <c r="BI33" s="36"/>
      <c r="BJ33" s="40">
        <f t="shared" ref="BJ33:BJ57" si="70" xml:space="preserve"> IF(F33=0,"",(BK33/F33))</f>
        <v>0</v>
      </c>
      <c r="BK33" s="32"/>
      <c r="BL33" s="124"/>
      <c r="BM33" s="36"/>
      <c r="BN33" s="40">
        <f t="shared" ref="BN33:BN51" si="71" xml:space="preserve"> IF(F33=0,"",(BO33/F33))</f>
        <v>0</v>
      </c>
      <c r="BO33" s="32"/>
      <c r="BP33" s="124"/>
      <c r="BQ33" s="36"/>
      <c r="BR33" s="37">
        <f t="shared" ref="BR33:BR34" si="72">IF(F33=0, "",1-((J33+K33+X33+Y33+AB33+AC33+AF33+AG33+AJ33+AK33+AN33+AO33+AR33+AS33+AV33+AW33+AZ33+BA33+BD33+BE33+BH33+BI33+BL33+BM33+BP33+BQ33)/F33))</f>
        <v>-0.12979162848282999</v>
      </c>
      <c r="BS33" s="38">
        <f t="shared" ref="BS33:BS57" si="73">F33-BT33-J33-K33</f>
        <v>-584526</v>
      </c>
      <c r="BT33" s="38">
        <f t="shared" si="55"/>
        <v>439362</v>
      </c>
      <c r="BU33" s="38">
        <f t="shared" si="48"/>
        <v>239362</v>
      </c>
      <c r="BV33" s="39">
        <f t="shared" ref="BV33:BV57" si="74">BT33-BU33</f>
        <v>200000</v>
      </c>
      <c r="BW33" s="37">
        <f t="shared" ref="BW33:BW52" si="75">IF(BT33=0,"",(BU33) / BT33)</f>
        <v>0.54479449747588549</v>
      </c>
      <c r="BX33" s="39">
        <f t="shared" ref="BX33:BX52" si="76">BY33+BZ33</f>
        <v>3347167</v>
      </c>
      <c r="BY33" s="223">
        <f t="shared" ref="BY33:BY57" si="77">J33+Y33+AC33+AG33+AK33+AO33+AS33+AW33+BA33+BE33+BI33+BM33+BQ33</f>
        <v>3047167</v>
      </c>
      <c r="BZ33" s="352">
        <f t="shared" ref="BZ33:BZ57" si="78">K33+X33+AB33+AF33+AJ33+AN33+AR33+AV33+AZ33+BD33+BH33+BL33+BP33</f>
        <v>300000</v>
      </c>
    </row>
    <row r="34" spans="1:78" ht="12.75" customHeight="1">
      <c r="A34" s="31" t="s">
        <v>177</v>
      </c>
      <c r="B34" s="157" t="s">
        <v>178</v>
      </c>
      <c r="C34" s="120" t="s">
        <v>150</v>
      </c>
      <c r="D34" s="44" t="s">
        <v>139</v>
      </c>
      <c r="E34" s="44" t="s">
        <v>136</v>
      </c>
      <c r="F34" s="121">
        <v>281050</v>
      </c>
      <c r="G34" s="125">
        <v>45711</v>
      </c>
      <c r="H34" s="196">
        <f>F34-I34-J34-Y34-AC34-AG34-AK34-AO34-AS34-AW34-BA34-BE34-BI34-BM34-BQ34</f>
        <v>0</v>
      </c>
      <c r="I34" s="195">
        <f t="shared" si="56"/>
        <v>0</v>
      </c>
      <c r="J34" s="199">
        <v>30000</v>
      </c>
      <c r="K34" s="198">
        <v>0</v>
      </c>
      <c r="L34" s="170"/>
      <c r="M34" s="33">
        <f t="shared" si="57"/>
        <v>0.10674257249599715</v>
      </c>
      <c r="N34" s="120" t="s">
        <v>104</v>
      </c>
      <c r="O34" s="34">
        <v>0</v>
      </c>
      <c r="P34" s="34">
        <v>0</v>
      </c>
      <c r="Q34" s="34"/>
      <c r="R34" s="34"/>
      <c r="S34" s="34">
        <f t="shared" si="58"/>
        <v>0</v>
      </c>
      <c r="T34" s="121">
        <f t="shared" si="59"/>
        <v>281050</v>
      </c>
      <c r="U34" s="35">
        <f t="shared" si="60"/>
        <v>1</v>
      </c>
      <c r="V34" s="40">
        <f t="shared" si="61"/>
        <v>0</v>
      </c>
      <c r="W34" s="32"/>
      <c r="X34" s="124"/>
      <c r="Y34" s="36"/>
      <c r="Z34" s="40">
        <f t="shared" si="62"/>
        <v>0</v>
      </c>
      <c r="AA34" s="32"/>
      <c r="AB34" s="124"/>
      <c r="AC34" s="36"/>
      <c r="AD34" s="40">
        <f t="shared" si="54"/>
        <v>0.89325742750400283</v>
      </c>
      <c r="AE34" s="32">
        <v>251050</v>
      </c>
      <c r="AF34" s="124"/>
      <c r="AG34" s="219">
        <v>251050</v>
      </c>
      <c r="AH34" s="40">
        <f t="shared" si="63"/>
        <v>0</v>
      </c>
      <c r="AI34" s="32"/>
      <c r="AJ34" s="124"/>
      <c r="AK34" s="36"/>
      <c r="AL34" s="40">
        <f t="shared" si="64"/>
        <v>0</v>
      </c>
      <c r="AM34" s="32"/>
      <c r="AN34" s="124"/>
      <c r="AO34" s="228"/>
      <c r="AP34" s="40">
        <f t="shared" si="65"/>
        <v>0.35580857498665719</v>
      </c>
      <c r="AQ34" s="32">
        <v>100000</v>
      </c>
      <c r="AR34" s="124"/>
      <c r="AS34" s="122"/>
      <c r="AT34" s="40">
        <f t="shared" si="66"/>
        <v>0</v>
      </c>
      <c r="AU34" s="32"/>
      <c r="AV34" s="124"/>
      <c r="AW34" s="36"/>
      <c r="AX34" s="40">
        <f t="shared" si="67"/>
        <v>0.35936666073652374</v>
      </c>
      <c r="AY34" s="32">
        <v>101000</v>
      </c>
      <c r="AZ34" s="124"/>
      <c r="BA34" s="36"/>
      <c r="BB34" s="40">
        <f t="shared" si="68"/>
        <v>0</v>
      </c>
      <c r="BC34" s="32"/>
      <c r="BD34" s="124"/>
      <c r="BE34" s="36"/>
      <c r="BF34" s="40">
        <f t="shared" si="69"/>
        <v>0</v>
      </c>
      <c r="BG34" s="32"/>
      <c r="BH34" s="124"/>
      <c r="BI34" s="36"/>
      <c r="BJ34" s="40">
        <f t="shared" si="70"/>
        <v>0</v>
      </c>
      <c r="BK34" s="32"/>
      <c r="BL34" s="124"/>
      <c r="BM34" s="36"/>
      <c r="BN34" s="40">
        <f t="shared" si="71"/>
        <v>0</v>
      </c>
      <c r="BO34" s="32"/>
      <c r="BP34" s="124"/>
      <c r="BQ34" s="36"/>
      <c r="BR34" s="37">
        <f t="shared" si="72"/>
        <v>0</v>
      </c>
      <c r="BS34" s="38">
        <f t="shared" si="73"/>
        <v>-201000</v>
      </c>
      <c r="BT34" s="38">
        <f t="shared" si="55"/>
        <v>452050</v>
      </c>
      <c r="BU34" s="38">
        <f t="shared" si="48"/>
        <v>251050</v>
      </c>
      <c r="BV34" s="39">
        <f t="shared" si="74"/>
        <v>201000</v>
      </c>
      <c r="BW34" s="37">
        <f t="shared" si="75"/>
        <v>0.55535892047339896</v>
      </c>
      <c r="BX34" s="39">
        <f t="shared" si="76"/>
        <v>281050</v>
      </c>
      <c r="BY34" s="223">
        <f t="shared" si="77"/>
        <v>281050</v>
      </c>
      <c r="BZ34" s="39">
        <f t="shared" si="78"/>
        <v>0</v>
      </c>
    </row>
    <row r="35" spans="1:78" ht="12.75" customHeight="1" thickBot="1">
      <c r="A35" s="31" t="s">
        <v>179</v>
      </c>
      <c r="B35" s="157" t="s">
        <v>180</v>
      </c>
      <c r="C35" s="120" t="s">
        <v>120</v>
      </c>
      <c r="D35" s="44" t="s">
        <v>139</v>
      </c>
      <c r="E35" s="44" t="s">
        <v>103</v>
      </c>
      <c r="F35" s="121">
        <v>230000</v>
      </c>
      <c r="G35" s="125">
        <v>45778</v>
      </c>
      <c r="H35" s="196">
        <f t="shared" ref="H35:H57" si="79">F35-I35-J35-Y35-AC35-AG35-AK35-AO35-AS35-AW35-BA35-BE35-BI35-BM35-BQ35</f>
        <v>10000</v>
      </c>
      <c r="I35" s="195">
        <f t="shared" si="56"/>
        <v>151000</v>
      </c>
      <c r="J35" s="197">
        <v>69000</v>
      </c>
      <c r="K35" s="198">
        <v>11000</v>
      </c>
      <c r="L35" s="170"/>
      <c r="M35" s="33">
        <f t="shared" si="57"/>
        <v>0.34782608695652173</v>
      </c>
      <c r="N35" s="120" t="s">
        <v>104</v>
      </c>
      <c r="O35" s="34">
        <v>0</v>
      </c>
      <c r="P35" s="34">
        <v>0</v>
      </c>
      <c r="Q35" s="34"/>
      <c r="R35" s="34"/>
      <c r="S35" s="34">
        <f t="shared" si="58"/>
        <v>0</v>
      </c>
      <c r="T35" s="121">
        <f t="shared" si="59"/>
        <v>230000</v>
      </c>
      <c r="U35" s="35">
        <f t="shared" ref="U35:U57" si="80">IF(F35=0,"",(T35/F35))</f>
        <v>1</v>
      </c>
      <c r="V35" s="40">
        <f t="shared" ref="V35:V51" si="81" xml:space="preserve"> IF(F35=0,"",(W35/F35))</f>
        <v>0</v>
      </c>
      <c r="W35" s="32"/>
      <c r="X35" s="124">
        <v>70000</v>
      </c>
      <c r="Y35" s="36"/>
      <c r="Z35" s="40">
        <f t="shared" si="62"/>
        <v>0.52417391304347827</v>
      </c>
      <c r="AA35" s="32">
        <v>120560</v>
      </c>
      <c r="AB35" s="124"/>
      <c r="AC35" s="36"/>
      <c r="AD35" s="40">
        <f t="shared" si="54"/>
        <v>0.30434782608695654</v>
      </c>
      <c r="AE35" s="32">
        <v>70000</v>
      </c>
      <c r="AF35" s="124">
        <v>70000</v>
      </c>
      <c r="AG35" s="36"/>
      <c r="AH35" s="40">
        <f t="shared" si="63"/>
        <v>0</v>
      </c>
      <c r="AI35" s="32"/>
      <c r="AJ35" s="124"/>
      <c r="AK35" s="36"/>
      <c r="AL35" s="40">
        <f t="shared" si="64"/>
        <v>0</v>
      </c>
      <c r="AM35" s="32"/>
      <c r="AN35" s="124"/>
      <c r="AO35" s="228"/>
      <c r="AP35" s="40">
        <f t="shared" si="65"/>
        <v>0.36521739130434783</v>
      </c>
      <c r="AQ35" s="32">
        <v>84000</v>
      </c>
      <c r="AR35" s="124"/>
      <c r="AS35" s="122"/>
      <c r="AT35" s="40">
        <f t="shared" si="66"/>
        <v>0</v>
      </c>
      <c r="AU35" s="32"/>
      <c r="AV35" s="124"/>
      <c r="AW35" s="36"/>
      <c r="AX35" s="40">
        <f t="shared" si="67"/>
        <v>0</v>
      </c>
      <c r="AY35" s="32"/>
      <c r="AZ35" s="124"/>
      <c r="BA35" s="36"/>
      <c r="BB35" s="40">
        <f t="shared" si="68"/>
        <v>0</v>
      </c>
      <c r="BC35" s="32"/>
      <c r="BD35" s="124"/>
      <c r="BE35" s="36"/>
      <c r="BF35" s="40">
        <f t="shared" si="69"/>
        <v>0</v>
      </c>
      <c r="BG35" s="32"/>
      <c r="BH35" s="124"/>
      <c r="BI35" s="36"/>
      <c r="BJ35" s="40">
        <f t="shared" si="70"/>
        <v>0</v>
      </c>
      <c r="BK35" s="385"/>
      <c r="BL35" s="124"/>
      <c r="BM35" s="219"/>
      <c r="BN35" s="40">
        <f t="shared" si="71"/>
        <v>0</v>
      </c>
      <c r="BO35" s="32"/>
      <c r="BP35" s="124"/>
      <c r="BQ35" s="36"/>
      <c r="BR35" s="37">
        <f t="shared" ref="BR35:BR57" si="82">IF(F35=0, "",1-((J35+K35+X35+Y35+AB35+AC35+AF35+AG35+AJ35+AK35+AN35+AO35+AR35+AS35+AV35+AW35+AZ35+BA35+BD35+BE35+BH35+BI35+BL35+BM35+BP35+BQ35)/F35))</f>
        <v>4.3478260869565188E-2</v>
      </c>
      <c r="BS35" s="38">
        <f t="shared" si="73"/>
        <v>-124560</v>
      </c>
      <c r="BT35" s="38">
        <f t="shared" si="55"/>
        <v>274560</v>
      </c>
      <c r="BU35" s="38">
        <f t="shared" si="48"/>
        <v>140000</v>
      </c>
      <c r="BV35" s="39">
        <f t="shared" si="74"/>
        <v>134560</v>
      </c>
      <c r="BW35" s="37">
        <f t="shared" si="75"/>
        <v>0.50990675990675993</v>
      </c>
      <c r="BX35" s="39">
        <f t="shared" si="76"/>
        <v>220000</v>
      </c>
      <c r="BY35" s="223">
        <f t="shared" si="77"/>
        <v>69000</v>
      </c>
      <c r="BZ35" s="352">
        <f t="shared" si="78"/>
        <v>151000</v>
      </c>
    </row>
    <row r="36" spans="1:78" ht="12.75" hidden="1" customHeight="1" thickBot="1">
      <c r="A36" s="31" t="s">
        <v>181</v>
      </c>
      <c r="B36" s="157">
        <v>300010460</v>
      </c>
      <c r="C36" s="120" t="s">
        <v>107</v>
      </c>
      <c r="D36" s="44" t="s">
        <v>102</v>
      </c>
      <c r="E36" s="44" t="s">
        <v>125</v>
      </c>
      <c r="F36" s="121">
        <v>2250000</v>
      </c>
      <c r="G36" s="125">
        <v>45809</v>
      </c>
      <c r="H36" s="196">
        <f t="shared" si="79"/>
        <v>2250000</v>
      </c>
      <c r="I36" s="195">
        <f t="shared" si="56"/>
        <v>0</v>
      </c>
      <c r="J36" s="197">
        <v>0</v>
      </c>
      <c r="K36" s="198">
        <v>0</v>
      </c>
      <c r="L36" s="170"/>
      <c r="M36" s="33">
        <f t="shared" si="57"/>
        <v>0</v>
      </c>
      <c r="N36" s="120" t="s">
        <v>182</v>
      </c>
      <c r="O36" s="34">
        <v>0</v>
      </c>
      <c r="P36" s="34">
        <v>0</v>
      </c>
      <c r="Q36" s="34"/>
      <c r="R36" s="34"/>
      <c r="S36" s="34">
        <f t="shared" si="58"/>
        <v>0</v>
      </c>
      <c r="T36" s="121">
        <f t="shared" si="59"/>
        <v>2250000</v>
      </c>
      <c r="U36" s="35">
        <f t="shared" si="80"/>
        <v>1</v>
      </c>
      <c r="V36" s="40">
        <f t="shared" si="81"/>
        <v>0</v>
      </c>
      <c r="W36" s="32"/>
      <c r="X36" s="124"/>
      <c r="Y36" s="36"/>
      <c r="Z36" s="40">
        <f t="shared" si="62"/>
        <v>0</v>
      </c>
      <c r="AA36" s="32"/>
      <c r="AB36" s="124"/>
      <c r="AC36" s="36"/>
      <c r="AD36" s="40">
        <f t="shared" si="54"/>
        <v>0</v>
      </c>
      <c r="AE36" s="32"/>
      <c r="AF36" s="124"/>
      <c r="AG36" s="36"/>
      <c r="AH36" s="40">
        <f t="shared" si="63"/>
        <v>0</v>
      </c>
      <c r="AI36" s="32"/>
      <c r="AJ36" s="124"/>
      <c r="AK36" s="36"/>
      <c r="AL36" s="40">
        <f t="shared" si="64"/>
        <v>0</v>
      </c>
      <c r="AM36" s="32"/>
      <c r="AN36" s="124"/>
      <c r="AO36" s="228"/>
      <c r="AP36" s="40">
        <f t="shared" si="65"/>
        <v>0</v>
      </c>
      <c r="AQ36" s="32"/>
      <c r="AR36" s="124"/>
      <c r="AS36" s="122"/>
      <c r="AT36" s="40">
        <f t="shared" si="66"/>
        <v>0</v>
      </c>
      <c r="AU36" s="32"/>
      <c r="AV36" s="124"/>
      <c r="AW36" s="36"/>
      <c r="AX36" s="40">
        <f t="shared" si="67"/>
        <v>0</v>
      </c>
      <c r="AY36" s="32"/>
      <c r="AZ36" s="124"/>
      <c r="BA36" s="36"/>
      <c r="BB36" s="40">
        <f t="shared" si="68"/>
        <v>0</v>
      </c>
      <c r="BC36" s="32"/>
      <c r="BD36" s="124"/>
      <c r="BE36" s="36"/>
      <c r="BF36" s="40">
        <f t="shared" si="69"/>
        <v>0</v>
      </c>
      <c r="BG36" s="32"/>
      <c r="BH36" s="124"/>
      <c r="BI36" s="36"/>
      <c r="BJ36" s="40">
        <f t="shared" si="70"/>
        <v>0</v>
      </c>
      <c r="BK36" s="32"/>
      <c r="BL36" s="124"/>
      <c r="BM36" s="36"/>
      <c r="BN36" s="40">
        <f t="shared" si="71"/>
        <v>0</v>
      </c>
      <c r="BO36" s="355"/>
      <c r="BP36" s="124"/>
      <c r="BQ36" s="36"/>
      <c r="BR36" s="37">
        <f t="shared" si="82"/>
        <v>1</v>
      </c>
      <c r="BS36" s="38">
        <f t="shared" si="73"/>
        <v>2250000</v>
      </c>
      <c r="BT36" s="38">
        <f t="shared" si="55"/>
        <v>0</v>
      </c>
      <c r="BU36" s="38">
        <f t="shared" si="48"/>
        <v>0</v>
      </c>
      <c r="BV36" s="39">
        <f t="shared" si="74"/>
        <v>0</v>
      </c>
      <c r="BW36" s="37" t="str">
        <f t="shared" si="75"/>
        <v/>
      </c>
      <c r="BX36" s="39">
        <f t="shared" si="76"/>
        <v>0</v>
      </c>
      <c r="BY36" s="223">
        <f t="shared" si="77"/>
        <v>0</v>
      </c>
      <c r="BZ36" s="39">
        <f t="shared" si="78"/>
        <v>0</v>
      </c>
    </row>
    <row r="37" spans="1:78" ht="12.75" customHeight="1" thickBot="1">
      <c r="A37" s="31" t="s">
        <v>183</v>
      </c>
      <c r="B37" s="157" t="s">
        <v>184</v>
      </c>
      <c r="C37" s="120" t="s">
        <v>185</v>
      </c>
      <c r="D37" s="44" t="s">
        <v>139</v>
      </c>
      <c r="E37" s="44" t="s">
        <v>136</v>
      </c>
      <c r="F37" s="121">
        <v>475000</v>
      </c>
      <c r="G37" s="125">
        <v>46022</v>
      </c>
      <c r="H37" s="196">
        <f t="shared" si="79"/>
        <v>95000</v>
      </c>
      <c r="I37" s="195">
        <f>K37+X37+AB37+AF37+AJ37+AN37+AR37+AV37+AZ37+BD37+BH37+BL37+BP37</f>
        <v>332500</v>
      </c>
      <c r="J37" s="197">
        <v>47500</v>
      </c>
      <c r="K37" s="198">
        <v>332500</v>
      </c>
      <c r="L37" s="170"/>
      <c r="M37" s="33">
        <f t="shared" si="57"/>
        <v>0.8</v>
      </c>
      <c r="N37" s="120" t="s">
        <v>104</v>
      </c>
      <c r="O37" s="34">
        <v>0</v>
      </c>
      <c r="P37" s="34">
        <v>0</v>
      </c>
      <c r="Q37" s="34"/>
      <c r="R37" s="34"/>
      <c r="S37" s="34">
        <f t="shared" si="58"/>
        <v>0</v>
      </c>
      <c r="T37" s="121">
        <f t="shared" si="59"/>
        <v>475000</v>
      </c>
      <c r="U37" s="35">
        <f t="shared" si="80"/>
        <v>1</v>
      </c>
      <c r="V37" s="40">
        <f t="shared" si="81"/>
        <v>0</v>
      </c>
      <c r="W37" s="32"/>
      <c r="X37" s="124"/>
      <c r="Y37" s="36"/>
      <c r="Z37" s="40">
        <f t="shared" si="62"/>
        <v>0</v>
      </c>
      <c r="AA37" s="32"/>
      <c r="AB37" s="124"/>
      <c r="AC37" s="36"/>
      <c r="AD37" s="40">
        <f t="shared" si="54"/>
        <v>0</v>
      </c>
      <c r="AE37" s="32"/>
      <c r="AF37" s="124"/>
      <c r="AG37" s="36"/>
      <c r="AH37" s="40">
        <f t="shared" si="63"/>
        <v>0</v>
      </c>
      <c r="AI37" s="32"/>
      <c r="AJ37" s="124"/>
      <c r="AK37" s="36"/>
      <c r="AL37" s="40">
        <f t="shared" si="64"/>
        <v>0</v>
      </c>
      <c r="AM37" s="32"/>
      <c r="AN37" s="124"/>
      <c r="AO37" s="228"/>
      <c r="AP37" s="40">
        <f t="shared" si="65"/>
        <v>0.6</v>
      </c>
      <c r="AQ37" s="32">
        <v>285000</v>
      </c>
      <c r="AR37" s="124"/>
      <c r="AS37" s="122"/>
      <c r="AT37" s="40">
        <f t="shared" si="66"/>
        <v>0</v>
      </c>
      <c r="AU37" s="32"/>
      <c r="AV37" s="124"/>
      <c r="AW37" s="36"/>
      <c r="AX37" s="40">
        <f t="shared" si="67"/>
        <v>0</v>
      </c>
      <c r="AY37" s="32"/>
      <c r="AZ37" s="124"/>
      <c r="BA37" s="36"/>
      <c r="BB37" s="40">
        <f t="shared" si="68"/>
        <v>0</v>
      </c>
      <c r="BC37" s="32"/>
      <c r="BD37" s="124"/>
      <c r="BE37" s="36"/>
      <c r="BF37" s="40">
        <f t="shared" si="69"/>
        <v>0</v>
      </c>
      <c r="BG37" s="32"/>
      <c r="BH37" s="124"/>
      <c r="BI37" s="36"/>
      <c r="BJ37" s="40">
        <f xml:space="preserve"> IF(F37=0,"",(BK38/F37))</f>
        <v>0</v>
      </c>
      <c r="BK37" s="362"/>
      <c r="BL37" s="124"/>
      <c r="BM37" s="36"/>
      <c r="BN37" s="40">
        <f t="shared" si="71"/>
        <v>0</v>
      </c>
      <c r="BO37" s="32"/>
      <c r="BP37" s="124"/>
      <c r="BQ37" s="36"/>
      <c r="BR37" s="37">
        <f t="shared" si="82"/>
        <v>0.19999999999999996</v>
      </c>
      <c r="BS37" s="38">
        <f t="shared" si="73"/>
        <v>-190000</v>
      </c>
      <c r="BT37" s="38">
        <f>W37+AA37+AE37+AI37+AM37+AQ37+AU37+AY37+BC37+BG37+BK38+BO37</f>
        <v>285000</v>
      </c>
      <c r="BU37" s="38">
        <f t="shared" si="48"/>
        <v>0</v>
      </c>
      <c r="BV37" s="39">
        <f t="shared" si="74"/>
        <v>285000</v>
      </c>
      <c r="BW37" s="37">
        <f t="shared" si="75"/>
        <v>0</v>
      </c>
      <c r="BX37" s="39">
        <f t="shared" si="76"/>
        <v>380000</v>
      </c>
      <c r="BY37" s="223">
        <f t="shared" si="77"/>
        <v>47500</v>
      </c>
      <c r="BZ37" s="352">
        <f t="shared" si="78"/>
        <v>332500</v>
      </c>
    </row>
    <row r="38" spans="1:78" ht="12.75" customHeight="1" thickBot="1">
      <c r="A38" s="31" t="s">
        <v>186</v>
      </c>
      <c r="B38" s="157" t="s">
        <v>187</v>
      </c>
      <c r="C38" s="120" t="s">
        <v>188</v>
      </c>
      <c r="D38" s="44" t="s">
        <v>139</v>
      </c>
      <c r="E38" s="44" t="s">
        <v>109</v>
      </c>
      <c r="F38" s="121">
        <v>52000</v>
      </c>
      <c r="G38" s="125">
        <v>46022</v>
      </c>
      <c r="H38" s="196">
        <f t="shared" si="79"/>
        <v>52000</v>
      </c>
      <c r="I38" s="195">
        <f t="shared" si="56"/>
        <v>0</v>
      </c>
      <c r="J38" s="197">
        <v>0</v>
      </c>
      <c r="K38" s="198">
        <v>0</v>
      </c>
      <c r="L38" s="170"/>
      <c r="M38" s="33">
        <f t="shared" si="57"/>
        <v>0</v>
      </c>
      <c r="N38" s="120" t="s">
        <v>151</v>
      </c>
      <c r="O38" s="34">
        <v>0</v>
      </c>
      <c r="P38" s="34">
        <v>0</v>
      </c>
      <c r="Q38" s="34"/>
      <c r="R38" s="34"/>
      <c r="S38" s="34">
        <f t="shared" si="58"/>
        <v>0</v>
      </c>
      <c r="T38" s="121">
        <f t="shared" si="59"/>
        <v>52000</v>
      </c>
      <c r="U38" s="35">
        <f t="shared" si="80"/>
        <v>1</v>
      </c>
      <c r="V38" s="40">
        <f t="shared" si="81"/>
        <v>0</v>
      </c>
      <c r="W38" s="32"/>
      <c r="X38" s="124"/>
      <c r="Y38" s="36"/>
      <c r="Z38" s="40">
        <f t="shared" si="62"/>
        <v>0</v>
      </c>
      <c r="AA38" s="32"/>
      <c r="AB38" s="124"/>
      <c r="AC38" s="36"/>
      <c r="AD38" s="40">
        <f t="shared" si="54"/>
        <v>0</v>
      </c>
      <c r="AE38" s="32"/>
      <c r="AF38" s="124"/>
      <c r="AG38" s="36"/>
      <c r="AH38" s="40">
        <f t="shared" si="63"/>
        <v>0</v>
      </c>
      <c r="AI38" s="32"/>
      <c r="AJ38" s="124"/>
      <c r="AK38" s="36"/>
      <c r="AL38" s="40">
        <f t="shared" si="64"/>
        <v>1</v>
      </c>
      <c r="AM38" s="32">
        <v>52000</v>
      </c>
      <c r="AN38" s="124"/>
      <c r="AO38" s="228"/>
      <c r="AP38" s="40">
        <f t="shared" si="65"/>
        <v>0</v>
      </c>
      <c r="AQ38" s="32"/>
      <c r="AR38" s="124"/>
      <c r="AS38" s="122"/>
      <c r="AT38" s="40">
        <f t="shared" si="66"/>
        <v>0</v>
      </c>
      <c r="AU38" s="32"/>
      <c r="AV38" s="124"/>
      <c r="AW38" s="36"/>
      <c r="AX38" s="40">
        <f t="shared" si="67"/>
        <v>0</v>
      </c>
      <c r="AY38" s="32"/>
      <c r="AZ38" s="124"/>
      <c r="BA38" s="36"/>
      <c r="BB38" s="40">
        <f t="shared" si="68"/>
        <v>0</v>
      </c>
      <c r="BC38" s="32"/>
      <c r="BD38" s="124"/>
      <c r="BE38" s="36"/>
      <c r="BF38" s="40">
        <f t="shared" si="69"/>
        <v>0</v>
      </c>
      <c r="BG38" s="32"/>
      <c r="BH38" s="124"/>
      <c r="BI38" s="36"/>
      <c r="BJ38" s="40">
        <v>0</v>
      </c>
      <c r="BK38" s="32"/>
      <c r="BL38" s="124"/>
      <c r="BM38" s="36"/>
      <c r="BN38" s="40">
        <f t="shared" si="71"/>
        <v>0</v>
      </c>
      <c r="BO38" s="32"/>
      <c r="BP38" s="124"/>
      <c r="BQ38" s="36"/>
      <c r="BR38" s="37">
        <f t="shared" si="82"/>
        <v>1</v>
      </c>
      <c r="BS38" s="38">
        <f t="shared" si="73"/>
        <v>0</v>
      </c>
      <c r="BT38" s="38">
        <f>W38+AA38+AE38+AI38+AM38+AQ38+AU38+AY38+BC38+BG38+BK39+BO38</f>
        <v>52000</v>
      </c>
      <c r="BU38" s="38">
        <f t="shared" si="48"/>
        <v>0</v>
      </c>
      <c r="BV38" s="39">
        <f t="shared" si="74"/>
        <v>52000</v>
      </c>
      <c r="BW38" s="37">
        <f t="shared" si="75"/>
        <v>0</v>
      </c>
      <c r="BX38" s="39">
        <f t="shared" si="76"/>
        <v>0</v>
      </c>
      <c r="BY38" s="223">
        <f t="shared" si="77"/>
        <v>0</v>
      </c>
      <c r="BZ38" s="39">
        <f t="shared" si="78"/>
        <v>0</v>
      </c>
    </row>
    <row r="39" spans="1:78" ht="12.75" customHeight="1" thickBot="1">
      <c r="A39" s="31" t="s">
        <v>189</v>
      </c>
      <c r="B39" s="157" t="s">
        <v>190</v>
      </c>
      <c r="C39" s="120" t="s">
        <v>107</v>
      </c>
      <c r="D39" s="44" t="s">
        <v>102</v>
      </c>
      <c r="E39" s="44" t="s">
        <v>103</v>
      </c>
      <c r="F39" s="121">
        <v>52068.72</v>
      </c>
      <c r="G39" s="125">
        <v>46022</v>
      </c>
      <c r="H39" s="196">
        <f t="shared" si="79"/>
        <v>-171.27999999999884</v>
      </c>
      <c r="I39" s="195">
        <f t="shared" si="56"/>
        <v>37240</v>
      </c>
      <c r="J39" s="197">
        <v>15000</v>
      </c>
      <c r="K39" s="198">
        <v>37240</v>
      </c>
      <c r="L39" s="170"/>
      <c r="M39" s="33">
        <f t="shared" si="57"/>
        <v>1.0032894989544585</v>
      </c>
      <c r="N39" s="120" t="s">
        <v>151</v>
      </c>
      <c r="O39" s="34">
        <v>0</v>
      </c>
      <c r="P39" s="34">
        <v>0</v>
      </c>
      <c r="Q39" s="34"/>
      <c r="R39" s="34"/>
      <c r="S39" s="34">
        <f t="shared" si="58"/>
        <v>0</v>
      </c>
      <c r="T39" s="121">
        <f t="shared" si="59"/>
        <v>52068.72</v>
      </c>
      <c r="U39" s="35">
        <f t="shared" si="80"/>
        <v>1</v>
      </c>
      <c r="V39" s="40">
        <f t="shared" si="81"/>
        <v>0</v>
      </c>
      <c r="W39" s="32"/>
      <c r="X39" s="124"/>
      <c r="Y39" s="36"/>
      <c r="Z39" s="40">
        <f t="shared" si="62"/>
        <v>0</v>
      </c>
      <c r="AA39" s="32"/>
      <c r="AB39" s="124"/>
      <c r="AC39" s="36"/>
      <c r="AD39" s="40">
        <f t="shared" si="54"/>
        <v>0</v>
      </c>
      <c r="AE39" s="32"/>
      <c r="AF39" s="124"/>
      <c r="AG39" s="36"/>
      <c r="AH39" s="40">
        <f t="shared" si="63"/>
        <v>0</v>
      </c>
      <c r="AI39" s="32"/>
      <c r="AJ39" s="124"/>
      <c r="AK39" s="36"/>
      <c r="AL39" s="40">
        <f t="shared" si="64"/>
        <v>0</v>
      </c>
      <c r="AM39" s="32"/>
      <c r="AN39" s="124"/>
      <c r="AO39" s="228"/>
      <c r="AP39" s="40">
        <f t="shared" si="65"/>
        <v>0</v>
      </c>
      <c r="AQ39" s="32"/>
      <c r="AR39" s="124"/>
      <c r="AS39" s="122"/>
      <c r="AT39" s="40">
        <f t="shared" si="66"/>
        <v>0</v>
      </c>
      <c r="AU39" s="32"/>
      <c r="AV39" s="124"/>
      <c r="AW39" s="36"/>
      <c r="AX39" s="40">
        <f t="shared" si="67"/>
        <v>0</v>
      </c>
      <c r="AY39" s="32"/>
      <c r="AZ39" s="124"/>
      <c r="BA39" s="36"/>
      <c r="BB39" s="40">
        <f t="shared" si="68"/>
        <v>0</v>
      </c>
      <c r="BC39" s="32"/>
      <c r="BD39" s="124"/>
      <c r="BE39" s="36"/>
      <c r="BF39" s="40">
        <f t="shared" si="69"/>
        <v>0</v>
      </c>
      <c r="BG39" s="32"/>
      <c r="BH39" s="124"/>
      <c r="BI39" s="36"/>
      <c r="BJ39" s="40">
        <f t="shared" si="70"/>
        <v>0</v>
      </c>
      <c r="BK39" s="32"/>
      <c r="BL39" s="124"/>
      <c r="BM39" s="36"/>
      <c r="BN39" s="40">
        <f t="shared" si="71"/>
        <v>0</v>
      </c>
      <c r="BO39" s="32"/>
      <c r="BP39" s="124"/>
      <c r="BQ39" s="36"/>
      <c r="BR39" s="37">
        <f t="shared" si="82"/>
        <v>-3.289498954458514E-3</v>
      </c>
      <c r="BS39" s="38">
        <f t="shared" si="73"/>
        <v>-171.27999999999884</v>
      </c>
      <c r="BT39" s="38">
        <f t="shared" si="55"/>
        <v>0</v>
      </c>
      <c r="BU39" s="38">
        <f t="shared" si="48"/>
        <v>0</v>
      </c>
      <c r="BV39" s="39">
        <f t="shared" si="74"/>
        <v>0</v>
      </c>
      <c r="BW39" s="37" t="str">
        <f t="shared" si="75"/>
        <v/>
      </c>
      <c r="BX39" s="39">
        <f t="shared" si="76"/>
        <v>52240</v>
      </c>
      <c r="BY39" s="223">
        <f t="shared" si="77"/>
        <v>15000</v>
      </c>
      <c r="BZ39" s="352">
        <f t="shared" si="78"/>
        <v>37240</v>
      </c>
    </row>
    <row r="40" spans="1:78" ht="12.75" customHeight="1" thickBot="1">
      <c r="A40" s="31" t="s">
        <v>191</v>
      </c>
      <c r="B40" s="157" t="s">
        <v>192</v>
      </c>
      <c r="C40" s="120" t="s">
        <v>107</v>
      </c>
      <c r="D40" s="44" t="s">
        <v>102</v>
      </c>
      <c r="E40" s="44" t="s">
        <v>103</v>
      </c>
      <c r="F40" s="121">
        <v>14702.16</v>
      </c>
      <c r="G40" s="125">
        <v>46022</v>
      </c>
      <c r="H40" s="196">
        <v>14702.16</v>
      </c>
      <c r="I40" s="195">
        <v>0</v>
      </c>
      <c r="J40" s="197">
        <v>0</v>
      </c>
      <c r="K40" s="198">
        <v>0</v>
      </c>
      <c r="L40" s="170"/>
      <c r="M40" s="33">
        <v>0</v>
      </c>
      <c r="N40" s="120" t="s">
        <v>151</v>
      </c>
      <c r="O40" s="34">
        <v>0</v>
      </c>
      <c r="P40" s="34">
        <v>0</v>
      </c>
      <c r="Q40" s="34"/>
      <c r="R40" s="34"/>
      <c r="S40" s="34">
        <v>0</v>
      </c>
      <c r="T40" s="121">
        <v>14702</v>
      </c>
      <c r="U40" s="35">
        <v>1</v>
      </c>
      <c r="V40" s="40">
        <v>0</v>
      </c>
      <c r="W40" s="32"/>
      <c r="X40" s="124"/>
      <c r="Y40" s="36"/>
      <c r="Z40" s="40">
        <v>0</v>
      </c>
      <c r="AA40" s="32"/>
      <c r="AB40" s="124"/>
      <c r="AC40" s="36"/>
      <c r="AD40" s="40">
        <v>0</v>
      </c>
      <c r="AE40" s="32"/>
      <c r="AF40" s="124"/>
      <c r="AG40" s="36"/>
      <c r="AH40" s="40">
        <v>0</v>
      </c>
      <c r="AI40" s="32"/>
      <c r="AJ40" s="124"/>
      <c r="AK40" s="36"/>
      <c r="AL40" s="40">
        <v>0</v>
      </c>
      <c r="AM40" s="32"/>
      <c r="AN40" s="124"/>
      <c r="AO40" s="228"/>
      <c r="AP40" s="40">
        <v>0</v>
      </c>
      <c r="AQ40" s="32"/>
      <c r="AR40" s="124"/>
      <c r="AS40" s="122"/>
      <c r="AT40" s="40">
        <v>0</v>
      </c>
      <c r="AU40" s="32"/>
      <c r="AV40" s="124"/>
      <c r="AW40" s="36"/>
      <c r="AX40" s="40">
        <v>0</v>
      </c>
      <c r="AY40" s="32"/>
      <c r="AZ40" s="124"/>
      <c r="BA40" s="36"/>
      <c r="BB40" s="40">
        <v>0</v>
      </c>
      <c r="BC40" s="32"/>
      <c r="BD40" s="124"/>
      <c r="BE40" s="36"/>
      <c r="BF40" s="40">
        <v>0</v>
      </c>
      <c r="BG40" s="32"/>
      <c r="BH40" s="124"/>
      <c r="BI40" s="36"/>
      <c r="BJ40" s="40">
        <v>0</v>
      </c>
      <c r="BK40" s="32"/>
      <c r="BL40" s="124"/>
      <c r="BM40" s="36"/>
      <c r="BN40" s="40">
        <v>0</v>
      </c>
      <c r="BO40" s="32"/>
      <c r="BP40" s="124"/>
      <c r="BQ40" s="36"/>
      <c r="BR40" s="37">
        <v>0</v>
      </c>
      <c r="BS40" s="38">
        <v>0</v>
      </c>
      <c r="BT40" s="38">
        <v>14702</v>
      </c>
      <c r="BU40" s="38">
        <v>0</v>
      </c>
      <c r="BV40" s="39">
        <v>14702</v>
      </c>
      <c r="BW40" s="37">
        <v>0</v>
      </c>
      <c r="BX40" s="39">
        <v>0</v>
      </c>
      <c r="BY40" s="223">
        <v>0</v>
      </c>
      <c r="BZ40" s="360">
        <v>0</v>
      </c>
    </row>
    <row r="41" spans="1:78" ht="12.75" hidden="1" customHeight="1" thickBot="1">
      <c r="A41" s="31" t="s">
        <v>193</v>
      </c>
      <c r="B41" s="157">
        <v>300010434</v>
      </c>
      <c r="C41" s="120" t="s">
        <v>176</v>
      </c>
      <c r="D41" s="44" t="s">
        <v>139</v>
      </c>
      <c r="E41" s="44" t="s">
        <v>125</v>
      </c>
      <c r="F41" s="121">
        <v>1000000</v>
      </c>
      <c r="G41" s="125">
        <v>45915</v>
      </c>
      <c r="H41" s="196">
        <f t="shared" si="79"/>
        <v>1000000</v>
      </c>
      <c r="I41" s="195">
        <f t="shared" si="56"/>
        <v>0</v>
      </c>
      <c r="J41" s="197">
        <v>0</v>
      </c>
      <c r="K41" s="198">
        <v>0</v>
      </c>
      <c r="L41" s="170"/>
      <c r="M41" s="33">
        <f t="shared" si="57"/>
        <v>0</v>
      </c>
      <c r="N41" s="120" t="s">
        <v>182</v>
      </c>
      <c r="O41" s="34">
        <v>0</v>
      </c>
      <c r="P41" s="34">
        <v>0</v>
      </c>
      <c r="Q41" s="34"/>
      <c r="R41" s="34"/>
      <c r="S41" s="34">
        <f t="shared" si="58"/>
        <v>0</v>
      </c>
      <c r="T41" s="121">
        <f t="shared" si="59"/>
        <v>1000000</v>
      </c>
      <c r="U41" s="35">
        <f t="shared" si="80"/>
        <v>1</v>
      </c>
      <c r="V41" s="40">
        <f t="shared" si="81"/>
        <v>0</v>
      </c>
      <c r="W41" s="32"/>
      <c r="X41" s="124"/>
      <c r="Y41" s="36"/>
      <c r="Z41" s="40">
        <f t="shared" si="62"/>
        <v>0</v>
      </c>
      <c r="AA41" s="32"/>
      <c r="AB41" s="124"/>
      <c r="AC41" s="36"/>
      <c r="AD41" s="40">
        <f t="shared" si="54"/>
        <v>0</v>
      </c>
      <c r="AE41" s="32"/>
      <c r="AF41" s="124"/>
      <c r="AG41" s="36"/>
      <c r="AH41" s="40">
        <f t="shared" si="63"/>
        <v>0</v>
      </c>
      <c r="AI41" s="32"/>
      <c r="AJ41" s="124"/>
      <c r="AK41" s="36"/>
      <c r="AL41" s="40">
        <f t="shared" si="64"/>
        <v>0</v>
      </c>
      <c r="AM41" s="32"/>
      <c r="AN41" s="124"/>
      <c r="AO41" s="228"/>
      <c r="AP41" s="40">
        <f t="shared" si="65"/>
        <v>0</v>
      </c>
      <c r="AQ41" s="32"/>
      <c r="AR41" s="124"/>
      <c r="AS41" s="122"/>
      <c r="AT41" s="40">
        <f t="shared" si="66"/>
        <v>0</v>
      </c>
      <c r="AU41" s="32"/>
      <c r="AV41" s="124"/>
      <c r="AW41" s="36"/>
      <c r="AX41" s="40">
        <f t="shared" si="67"/>
        <v>0</v>
      </c>
      <c r="AY41" s="32"/>
      <c r="AZ41" s="124"/>
      <c r="BA41" s="36"/>
      <c r="BB41" s="40">
        <f t="shared" si="68"/>
        <v>0</v>
      </c>
      <c r="BC41" s="32"/>
      <c r="BD41" s="124"/>
      <c r="BE41" s="36"/>
      <c r="BF41" s="40">
        <f t="shared" si="69"/>
        <v>0</v>
      </c>
      <c r="BG41" s="32"/>
      <c r="BH41" s="124"/>
      <c r="BI41" s="36"/>
      <c r="BJ41" s="40">
        <f t="shared" si="70"/>
        <v>0</v>
      </c>
      <c r="BK41" s="355"/>
      <c r="BL41" s="124"/>
      <c r="BM41" s="36"/>
      <c r="BN41" s="40">
        <f t="shared" si="71"/>
        <v>0</v>
      </c>
      <c r="BO41" s="32"/>
      <c r="BP41" s="124"/>
      <c r="BQ41" s="36"/>
      <c r="BR41" s="37">
        <f t="shared" si="82"/>
        <v>1</v>
      </c>
      <c r="BS41" s="38">
        <f t="shared" si="73"/>
        <v>1000000</v>
      </c>
      <c r="BT41" s="38">
        <f t="shared" si="55"/>
        <v>0</v>
      </c>
      <c r="BU41" s="38">
        <f t="shared" si="48"/>
        <v>0</v>
      </c>
      <c r="BV41" s="39">
        <f t="shared" si="74"/>
        <v>0</v>
      </c>
      <c r="BW41" s="37" t="str">
        <f t="shared" si="75"/>
        <v/>
      </c>
      <c r="BX41" s="39">
        <f t="shared" si="76"/>
        <v>0</v>
      </c>
      <c r="BY41" s="223">
        <f t="shared" si="77"/>
        <v>0</v>
      </c>
      <c r="BZ41" s="39">
        <f t="shared" si="78"/>
        <v>0</v>
      </c>
    </row>
    <row r="42" spans="1:78" ht="12.75" customHeight="1" thickBot="1">
      <c r="A42" s="31" t="s">
        <v>194</v>
      </c>
      <c r="B42" s="157" t="s">
        <v>195</v>
      </c>
      <c r="C42" s="120" t="s">
        <v>196</v>
      </c>
      <c r="D42" s="44" t="s">
        <v>154</v>
      </c>
      <c r="E42" s="44" t="s">
        <v>109</v>
      </c>
      <c r="F42" s="121">
        <v>13780</v>
      </c>
      <c r="G42" s="125">
        <v>45950</v>
      </c>
      <c r="H42" s="196">
        <f t="shared" si="79"/>
        <v>13780</v>
      </c>
      <c r="I42" s="195">
        <f t="shared" si="56"/>
        <v>0</v>
      </c>
      <c r="J42" s="197">
        <v>0</v>
      </c>
      <c r="K42" s="198">
        <v>0</v>
      </c>
      <c r="L42" s="170"/>
      <c r="M42" s="33">
        <f t="shared" si="57"/>
        <v>0</v>
      </c>
      <c r="N42" s="120" t="s">
        <v>104</v>
      </c>
      <c r="O42" s="34">
        <v>0</v>
      </c>
      <c r="P42" s="34">
        <v>0</v>
      </c>
      <c r="Q42" s="34"/>
      <c r="R42" s="34"/>
      <c r="S42" s="34">
        <f t="shared" si="58"/>
        <v>0</v>
      </c>
      <c r="T42" s="121">
        <f t="shared" si="59"/>
        <v>13780</v>
      </c>
      <c r="U42" s="35">
        <f t="shared" si="80"/>
        <v>1</v>
      </c>
      <c r="V42" s="40">
        <f t="shared" si="81"/>
        <v>0</v>
      </c>
      <c r="W42" s="32"/>
      <c r="X42" s="124"/>
      <c r="Y42" s="36"/>
      <c r="Z42" s="40">
        <f t="shared" si="62"/>
        <v>0</v>
      </c>
      <c r="AA42" s="32"/>
      <c r="AB42" s="124"/>
      <c r="AC42" s="36"/>
      <c r="AD42" s="40">
        <f t="shared" si="54"/>
        <v>0</v>
      </c>
      <c r="AE42" s="32"/>
      <c r="AF42" s="124"/>
      <c r="AG42" s="36"/>
      <c r="AH42" s="40">
        <f t="shared" si="63"/>
        <v>0</v>
      </c>
      <c r="AI42" s="32"/>
      <c r="AJ42" s="124"/>
      <c r="AK42" s="36"/>
      <c r="AL42" s="40">
        <f t="shared" si="64"/>
        <v>0.94339622641509435</v>
      </c>
      <c r="AM42" s="32">
        <v>13000</v>
      </c>
      <c r="AN42" s="124"/>
      <c r="AO42" s="228"/>
      <c r="AP42" s="40">
        <f t="shared" si="65"/>
        <v>0</v>
      </c>
      <c r="AQ42" s="32"/>
      <c r="AR42" s="124"/>
      <c r="AS42" s="122"/>
      <c r="AT42" s="40">
        <f t="shared" si="66"/>
        <v>0</v>
      </c>
      <c r="AU42" s="32"/>
      <c r="AV42" s="124"/>
      <c r="AW42" s="36"/>
      <c r="AX42" s="40">
        <f t="shared" si="67"/>
        <v>0</v>
      </c>
      <c r="AY42" s="32"/>
      <c r="AZ42" s="124"/>
      <c r="BA42" s="36"/>
      <c r="BB42" s="40">
        <f t="shared" si="68"/>
        <v>0</v>
      </c>
      <c r="BC42" s="32"/>
      <c r="BD42" s="124"/>
      <c r="BE42" s="36"/>
      <c r="BF42" s="40">
        <f t="shared" si="69"/>
        <v>0</v>
      </c>
      <c r="BG42" s="32"/>
      <c r="BH42" s="124"/>
      <c r="BI42" s="36"/>
      <c r="BJ42" s="40">
        <f t="shared" si="70"/>
        <v>0</v>
      </c>
      <c r="BK42" s="32"/>
      <c r="BL42" s="124"/>
      <c r="BM42" s="36"/>
      <c r="BN42" s="40">
        <f t="shared" si="71"/>
        <v>0</v>
      </c>
      <c r="BO42" s="32"/>
      <c r="BP42" s="124"/>
      <c r="BQ42" s="36"/>
      <c r="BR42" s="37">
        <f t="shared" si="82"/>
        <v>1</v>
      </c>
      <c r="BS42" s="38">
        <f t="shared" si="73"/>
        <v>780</v>
      </c>
      <c r="BT42" s="38">
        <f t="shared" si="55"/>
        <v>13000</v>
      </c>
      <c r="BU42" s="38">
        <f t="shared" si="48"/>
        <v>0</v>
      </c>
      <c r="BV42" s="39">
        <f t="shared" si="74"/>
        <v>13000</v>
      </c>
      <c r="BW42" s="37">
        <f t="shared" si="75"/>
        <v>0</v>
      </c>
      <c r="BX42" s="39">
        <f t="shared" si="76"/>
        <v>0</v>
      </c>
      <c r="BY42" s="223">
        <f t="shared" si="77"/>
        <v>0</v>
      </c>
      <c r="BZ42" s="39">
        <f t="shared" si="78"/>
        <v>0</v>
      </c>
    </row>
    <row r="43" spans="1:78" ht="12.75" customHeight="1" thickBot="1">
      <c r="A43" s="31" t="s">
        <v>197</v>
      </c>
      <c r="B43" s="157" t="s">
        <v>198</v>
      </c>
      <c r="C43" s="120" t="s">
        <v>199</v>
      </c>
      <c r="D43" s="44" t="s">
        <v>154</v>
      </c>
      <c r="E43" s="44" t="s">
        <v>109</v>
      </c>
      <c r="F43" s="121">
        <v>41700</v>
      </c>
      <c r="G43" s="125">
        <v>45950</v>
      </c>
      <c r="H43" s="196">
        <f t="shared" si="79"/>
        <v>24000</v>
      </c>
      <c r="I43" s="195">
        <f t="shared" si="56"/>
        <v>0</v>
      </c>
      <c r="J43" s="197">
        <v>17700</v>
      </c>
      <c r="K43" s="198">
        <v>0</v>
      </c>
      <c r="L43" s="170"/>
      <c r="M43" s="33">
        <f t="shared" si="57"/>
        <v>0.42446043165467628</v>
      </c>
      <c r="N43" s="120" t="s">
        <v>104</v>
      </c>
      <c r="O43" s="34">
        <v>0</v>
      </c>
      <c r="P43" s="34">
        <v>0</v>
      </c>
      <c r="Q43" s="34"/>
      <c r="R43" s="34"/>
      <c r="S43" s="34">
        <f t="shared" si="58"/>
        <v>0</v>
      </c>
      <c r="T43" s="121">
        <f t="shared" si="59"/>
        <v>41700</v>
      </c>
      <c r="U43" s="35">
        <f t="shared" si="80"/>
        <v>1</v>
      </c>
      <c r="V43" s="40">
        <f t="shared" si="81"/>
        <v>0</v>
      </c>
      <c r="W43" s="32"/>
      <c r="X43" s="124"/>
      <c r="Y43" s="36"/>
      <c r="Z43" s="40">
        <f t="shared" si="62"/>
        <v>0</v>
      </c>
      <c r="AA43" s="32"/>
      <c r="AB43" s="124"/>
      <c r="AC43" s="36"/>
      <c r="AD43" s="40">
        <f t="shared" si="54"/>
        <v>0</v>
      </c>
      <c r="AE43" s="32"/>
      <c r="AF43" s="124"/>
      <c r="AG43" s="36"/>
      <c r="AH43" s="40">
        <f t="shared" si="63"/>
        <v>0</v>
      </c>
      <c r="AI43" s="32"/>
      <c r="AJ43" s="124"/>
      <c r="AK43" s="36"/>
      <c r="AL43" s="40">
        <f t="shared" si="64"/>
        <v>0.57553956834532372</v>
      </c>
      <c r="AM43" s="32">
        <v>24000</v>
      </c>
      <c r="AN43" s="124"/>
      <c r="AO43" s="228"/>
      <c r="AP43" s="40">
        <f t="shared" si="65"/>
        <v>0</v>
      </c>
      <c r="AQ43" s="32"/>
      <c r="AR43" s="124"/>
      <c r="AS43" s="122"/>
      <c r="AT43" s="40">
        <f t="shared" si="66"/>
        <v>0</v>
      </c>
      <c r="AU43" s="32"/>
      <c r="AV43" s="124"/>
      <c r="AW43" s="36"/>
      <c r="AX43" s="40">
        <f t="shared" si="67"/>
        <v>0</v>
      </c>
      <c r="AY43" s="32"/>
      <c r="AZ43" s="124"/>
      <c r="BA43" s="36"/>
      <c r="BB43" s="40">
        <f t="shared" si="68"/>
        <v>0</v>
      </c>
      <c r="BC43" s="32"/>
      <c r="BD43" s="124"/>
      <c r="BE43" s="36"/>
      <c r="BF43" s="40">
        <f t="shared" si="69"/>
        <v>0</v>
      </c>
      <c r="BG43" s="32"/>
      <c r="BH43" s="124"/>
      <c r="BI43" s="36"/>
      <c r="BJ43" s="40">
        <f t="shared" si="70"/>
        <v>0</v>
      </c>
      <c r="BK43" s="32"/>
      <c r="BL43" s="124"/>
      <c r="BM43" s="36"/>
      <c r="BN43" s="40">
        <f t="shared" si="71"/>
        <v>0</v>
      </c>
      <c r="BO43" s="32"/>
      <c r="BP43" s="124"/>
      <c r="BQ43" s="36"/>
      <c r="BR43" s="37">
        <f t="shared" si="82"/>
        <v>0.57553956834532372</v>
      </c>
      <c r="BS43" s="38">
        <f t="shared" si="73"/>
        <v>0</v>
      </c>
      <c r="BT43" s="38">
        <f t="shared" si="55"/>
        <v>24000</v>
      </c>
      <c r="BU43" s="38">
        <f t="shared" si="48"/>
        <v>0</v>
      </c>
      <c r="BV43" s="39">
        <f t="shared" si="74"/>
        <v>24000</v>
      </c>
      <c r="BW43" s="37">
        <f t="shared" si="75"/>
        <v>0</v>
      </c>
      <c r="BX43" s="39">
        <f t="shared" si="76"/>
        <v>17700</v>
      </c>
      <c r="BY43" s="223">
        <f t="shared" si="77"/>
        <v>17700</v>
      </c>
      <c r="BZ43" s="39">
        <f t="shared" si="78"/>
        <v>0</v>
      </c>
    </row>
    <row r="44" spans="1:78" ht="12.75" customHeight="1" thickBot="1">
      <c r="A44" s="31" t="s">
        <v>200</v>
      </c>
      <c r="B44" s="157" t="s">
        <v>201</v>
      </c>
      <c r="C44" s="120" t="s">
        <v>150</v>
      </c>
      <c r="D44" s="44" t="s">
        <v>139</v>
      </c>
      <c r="E44" s="44" t="s">
        <v>109</v>
      </c>
      <c r="F44" s="121">
        <v>47240</v>
      </c>
      <c r="G44" s="125">
        <v>45953</v>
      </c>
      <c r="H44" s="196">
        <f t="shared" si="79"/>
        <v>0</v>
      </c>
      <c r="I44" s="195">
        <f t="shared" si="56"/>
        <v>0</v>
      </c>
      <c r="J44" s="197">
        <v>33068</v>
      </c>
      <c r="K44" s="198">
        <v>0</v>
      </c>
      <c r="L44" s="170"/>
      <c r="M44" s="33">
        <f t="shared" si="57"/>
        <v>0.7</v>
      </c>
      <c r="N44" s="120" t="s">
        <v>104</v>
      </c>
      <c r="O44" s="34">
        <v>0</v>
      </c>
      <c r="P44" s="34">
        <v>0</v>
      </c>
      <c r="Q44" s="34"/>
      <c r="R44" s="34"/>
      <c r="S44" s="34">
        <f t="shared" si="58"/>
        <v>0</v>
      </c>
      <c r="T44" s="121">
        <f t="shared" si="59"/>
        <v>47240</v>
      </c>
      <c r="U44" s="35">
        <f t="shared" si="80"/>
        <v>1</v>
      </c>
      <c r="V44" s="40">
        <f t="shared" si="81"/>
        <v>0</v>
      </c>
      <c r="W44" s="32"/>
      <c r="X44" s="124"/>
      <c r="Y44" s="36"/>
      <c r="Z44" s="40">
        <f t="shared" si="62"/>
        <v>0.3</v>
      </c>
      <c r="AA44" s="32">
        <v>14172</v>
      </c>
      <c r="AB44" s="124"/>
      <c r="AC44" s="36">
        <v>14172</v>
      </c>
      <c r="AD44" s="40">
        <f t="shared" si="54"/>
        <v>0</v>
      </c>
      <c r="AE44" s="32"/>
      <c r="AF44" s="124"/>
      <c r="AG44" s="36"/>
      <c r="AH44" s="40">
        <f t="shared" si="63"/>
        <v>0</v>
      </c>
      <c r="AI44" s="32"/>
      <c r="AJ44" s="124"/>
      <c r="AK44" s="36"/>
      <c r="AL44" s="40">
        <f t="shared" si="64"/>
        <v>0</v>
      </c>
      <c r="AM44" s="32"/>
      <c r="AN44" s="124"/>
      <c r="AO44" s="228"/>
      <c r="AP44" s="40">
        <f t="shared" si="65"/>
        <v>0</v>
      </c>
      <c r="AQ44" s="32"/>
      <c r="AR44" s="124"/>
      <c r="AS44" s="122"/>
      <c r="AT44" s="40">
        <f t="shared" si="66"/>
        <v>0</v>
      </c>
      <c r="AU44" s="32"/>
      <c r="AV44" s="124"/>
      <c r="AW44" s="36"/>
      <c r="AX44" s="40">
        <f t="shared" si="67"/>
        <v>0</v>
      </c>
      <c r="AY44" s="32"/>
      <c r="AZ44" s="124"/>
      <c r="BA44" s="36"/>
      <c r="BB44" s="40">
        <f t="shared" si="68"/>
        <v>0</v>
      </c>
      <c r="BC44" s="32"/>
      <c r="BD44" s="124"/>
      <c r="BE44" s="36"/>
      <c r="BF44" s="40">
        <f t="shared" si="69"/>
        <v>0</v>
      </c>
      <c r="BG44" s="32"/>
      <c r="BH44" s="124"/>
      <c r="BI44" s="36"/>
      <c r="BJ44" s="40">
        <f t="shared" si="70"/>
        <v>0</v>
      </c>
      <c r="BK44" s="32"/>
      <c r="BL44" s="124"/>
      <c r="BM44" s="36"/>
      <c r="BN44" s="40">
        <f t="shared" si="71"/>
        <v>0</v>
      </c>
      <c r="BO44" s="32"/>
      <c r="BP44" s="124"/>
      <c r="BQ44" s="36"/>
      <c r="BR44" s="37">
        <f t="shared" si="82"/>
        <v>0</v>
      </c>
      <c r="BS44" s="38">
        <f t="shared" si="73"/>
        <v>0</v>
      </c>
      <c r="BT44" s="38">
        <f t="shared" si="55"/>
        <v>14172</v>
      </c>
      <c r="BU44" s="38">
        <f t="shared" si="48"/>
        <v>14172</v>
      </c>
      <c r="BV44" s="39">
        <f t="shared" si="74"/>
        <v>0</v>
      </c>
      <c r="BW44" s="37">
        <f t="shared" si="75"/>
        <v>1</v>
      </c>
      <c r="BX44" s="39">
        <f t="shared" si="76"/>
        <v>47240</v>
      </c>
      <c r="BY44" s="223">
        <f t="shared" si="77"/>
        <v>47240</v>
      </c>
      <c r="BZ44" s="39">
        <f t="shared" si="78"/>
        <v>0</v>
      </c>
    </row>
    <row r="45" spans="1:78" ht="12.75" customHeight="1" thickBot="1">
      <c r="A45" s="31" t="s">
        <v>202</v>
      </c>
      <c r="B45" s="157" t="s">
        <v>203</v>
      </c>
      <c r="C45" s="120" t="s">
        <v>204</v>
      </c>
      <c r="D45" s="44" t="s">
        <v>154</v>
      </c>
      <c r="E45" s="44" t="s">
        <v>109</v>
      </c>
      <c r="F45" s="121">
        <v>20120</v>
      </c>
      <c r="G45" s="125">
        <v>45911</v>
      </c>
      <c r="H45" s="196">
        <f>F45-I45-J45-Y45-AC45-AG45-AK45-AO45-AS45-AW45-BA45-BE45-BI45-BM45-BQ45</f>
        <v>0</v>
      </c>
      <c r="I45" s="195">
        <f t="shared" si="56"/>
        <v>0</v>
      </c>
      <c r="J45" s="197">
        <v>20120</v>
      </c>
      <c r="K45" s="198">
        <v>0</v>
      </c>
      <c r="L45" s="170"/>
      <c r="M45" s="33">
        <f t="shared" si="57"/>
        <v>1</v>
      </c>
      <c r="N45" s="120" t="s">
        <v>128</v>
      </c>
      <c r="O45" s="34">
        <v>0</v>
      </c>
      <c r="P45" s="34">
        <v>0</v>
      </c>
      <c r="Q45" s="34"/>
      <c r="R45" s="34"/>
      <c r="S45" s="34">
        <f t="shared" si="58"/>
        <v>0</v>
      </c>
      <c r="T45" s="121">
        <f t="shared" si="59"/>
        <v>20120</v>
      </c>
      <c r="U45" s="35">
        <f t="shared" si="80"/>
        <v>1</v>
      </c>
      <c r="V45" s="40">
        <f t="shared" si="81"/>
        <v>0</v>
      </c>
      <c r="W45" s="32"/>
      <c r="X45" s="124"/>
      <c r="Y45" s="36"/>
      <c r="Z45" s="40">
        <f t="shared" si="62"/>
        <v>0</v>
      </c>
      <c r="AA45" s="32"/>
      <c r="AB45" s="124"/>
      <c r="AC45" s="36"/>
      <c r="AD45" s="40">
        <f t="shared" si="54"/>
        <v>0</v>
      </c>
      <c r="AE45" s="32"/>
      <c r="AF45" s="124"/>
      <c r="AG45" s="36"/>
      <c r="AH45" s="40">
        <f t="shared" si="63"/>
        <v>0</v>
      </c>
      <c r="AI45" s="32"/>
      <c r="AJ45" s="124"/>
      <c r="AK45" s="36"/>
      <c r="AL45" s="40">
        <f t="shared" si="64"/>
        <v>0</v>
      </c>
      <c r="AM45" s="32"/>
      <c r="AN45" s="124"/>
      <c r="AO45" s="228"/>
      <c r="AP45" s="40">
        <f t="shared" si="65"/>
        <v>0</v>
      </c>
      <c r="AQ45" s="32"/>
      <c r="AR45" s="124"/>
      <c r="AS45" s="122"/>
      <c r="AT45" s="40">
        <f t="shared" si="66"/>
        <v>0</v>
      </c>
      <c r="AU45" s="32"/>
      <c r="AV45" s="124"/>
      <c r="AW45" s="36"/>
      <c r="AX45" s="40">
        <f t="shared" si="67"/>
        <v>0</v>
      </c>
      <c r="AY45" s="32"/>
      <c r="AZ45" s="124"/>
      <c r="BA45" s="36"/>
      <c r="BB45" s="40">
        <f t="shared" si="68"/>
        <v>0</v>
      </c>
      <c r="BC45" s="32"/>
      <c r="BD45" s="124"/>
      <c r="BE45" s="36"/>
      <c r="BF45" s="40">
        <f t="shared" si="69"/>
        <v>0</v>
      </c>
      <c r="BG45" s="32"/>
      <c r="BH45" s="124"/>
      <c r="BI45" s="36"/>
      <c r="BJ45" s="40">
        <f t="shared" si="70"/>
        <v>0</v>
      </c>
      <c r="BK45" s="32"/>
      <c r="BL45" s="124"/>
      <c r="BM45" s="36"/>
      <c r="BN45" s="40">
        <f t="shared" si="71"/>
        <v>0</v>
      </c>
      <c r="BO45" s="32"/>
      <c r="BP45" s="124"/>
      <c r="BQ45" s="36"/>
      <c r="BR45" s="37">
        <f t="shared" si="82"/>
        <v>0</v>
      </c>
      <c r="BS45" s="38">
        <f>F45-BT45-J45-K45</f>
        <v>0</v>
      </c>
      <c r="BT45" s="38">
        <f t="shared" si="55"/>
        <v>0</v>
      </c>
      <c r="BU45" s="38">
        <f t="shared" si="48"/>
        <v>0</v>
      </c>
      <c r="BV45" s="39">
        <f t="shared" si="74"/>
        <v>0</v>
      </c>
      <c r="BW45" s="37" t="str">
        <f t="shared" si="75"/>
        <v/>
      </c>
      <c r="BX45" s="39">
        <f t="shared" si="76"/>
        <v>20120</v>
      </c>
      <c r="BY45" s="223">
        <f t="shared" si="77"/>
        <v>20120</v>
      </c>
      <c r="BZ45" s="39">
        <f t="shared" si="78"/>
        <v>0</v>
      </c>
    </row>
    <row r="46" spans="1:78" ht="12.75" customHeight="1" thickBot="1">
      <c r="A46" s="31" t="s">
        <v>205</v>
      </c>
      <c r="B46" s="157" t="s">
        <v>206</v>
      </c>
      <c r="C46" s="120" t="s">
        <v>207</v>
      </c>
      <c r="D46" s="44" t="s">
        <v>154</v>
      </c>
      <c r="E46" s="44" t="s">
        <v>109</v>
      </c>
      <c r="F46" s="121">
        <v>25550</v>
      </c>
      <c r="G46" s="125">
        <v>45911</v>
      </c>
      <c r="H46" s="196">
        <f t="shared" si="79"/>
        <v>25550</v>
      </c>
      <c r="I46" s="195">
        <f t="shared" si="56"/>
        <v>0</v>
      </c>
      <c r="J46" s="197">
        <v>0</v>
      </c>
      <c r="K46" s="198">
        <v>0</v>
      </c>
      <c r="L46" s="170"/>
      <c r="M46" s="33">
        <f t="shared" si="57"/>
        <v>0</v>
      </c>
      <c r="N46" s="120" t="s">
        <v>151</v>
      </c>
      <c r="O46" s="34">
        <v>0</v>
      </c>
      <c r="P46" s="34">
        <v>0</v>
      </c>
      <c r="Q46" s="34"/>
      <c r="R46" s="34"/>
      <c r="S46" s="34">
        <f t="shared" si="58"/>
        <v>0</v>
      </c>
      <c r="T46" s="121">
        <f t="shared" si="59"/>
        <v>25550</v>
      </c>
      <c r="U46" s="35">
        <f t="shared" si="80"/>
        <v>1</v>
      </c>
      <c r="V46" s="40">
        <f t="shared" si="81"/>
        <v>0</v>
      </c>
      <c r="W46" s="32"/>
      <c r="X46" s="124"/>
      <c r="Y46" s="36"/>
      <c r="Z46" s="40">
        <f t="shared" si="62"/>
        <v>0</v>
      </c>
      <c r="AA46" s="32"/>
      <c r="AB46" s="124"/>
      <c r="AC46" s="36"/>
      <c r="AD46" s="40">
        <f t="shared" si="54"/>
        <v>0</v>
      </c>
      <c r="AE46" s="32"/>
      <c r="AF46" s="124"/>
      <c r="AG46" s="36"/>
      <c r="AH46" s="40">
        <f t="shared" si="63"/>
        <v>0</v>
      </c>
      <c r="AI46" s="32"/>
      <c r="AJ46" s="124"/>
      <c r="AK46" s="36"/>
      <c r="AL46" s="40">
        <f t="shared" si="64"/>
        <v>0</v>
      </c>
      <c r="AM46" s="32"/>
      <c r="AN46" s="124"/>
      <c r="AO46" s="228"/>
      <c r="AP46" s="40">
        <f t="shared" si="65"/>
        <v>1</v>
      </c>
      <c r="AQ46" s="32">
        <v>25550</v>
      </c>
      <c r="AR46" s="124"/>
      <c r="AS46" s="122"/>
      <c r="AT46" s="40">
        <f t="shared" si="66"/>
        <v>0</v>
      </c>
      <c r="AU46" s="32"/>
      <c r="AV46" s="124"/>
      <c r="AW46" s="36"/>
      <c r="AX46" s="40">
        <f t="shared" si="67"/>
        <v>0</v>
      </c>
      <c r="AY46" s="32"/>
      <c r="AZ46" s="124"/>
      <c r="BA46" s="36"/>
      <c r="BB46" s="40">
        <f t="shared" si="68"/>
        <v>0</v>
      </c>
      <c r="BC46" s="32"/>
      <c r="BD46" s="124"/>
      <c r="BE46" s="36"/>
      <c r="BF46" s="40">
        <f t="shared" si="69"/>
        <v>0</v>
      </c>
      <c r="BG46" s="32"/>
      <c r="BH46" s="124"/>
      <c r="BI46" s="36"/>
      <c r="BJ46" s="40">
        <f t="shared" si="70"/>
        <v>0</v>
      </c>
      <c r="BK46" s="32"/>
      <c r="BL46" s="124"/>
      <c r="BM46" s="36"/>
      <c r="BN46" s="40">
        <f t="shared" si="71"/>
        <v>0</v>
      </c>
      <c r="BO46" s="32"/>
      <c r="BP46" s="124"/>
      <c r="BQ46" s="36"/>
      <c r="BR46" s="37">
        <f t="shared" si="82"/>
        <v>1</v>
      </c>
      <c r="BS46" s="38">
        <f t="shared" si="73"/>
        <v>0</v>
      </c>
      <c r="BT46" s="38">
        <f t="shared" si="55"/>
        <v>25550</v>
      </c>
      <c r="BU46" s="38">
        <f t="shared" si="48"/>
        <v>0</v>
      </c>
      <c r="BV46" s="39">
        <f t="shared" si="74"/>
        <v>25550</v>
      </c>
      <c r="BW46" s="37">
        <f t="shared" si="75"/>
        <v>0</v>
      </c>
      <c r="BX46" s="39">
        <f t="shared" si="76"/>
        <v>0</v>
      </c>
      <c r="BY46" s="223">
        <f t="shared" si="77"/>
        <v>0</v>
      </c>
      <c r="BZ46" s="39">
        <f t="shared" si="78"/>
        <v>0</v>
      </c>
    </row>
    <row r="47" spans="1:78" ht="12.75" customHeight="1" thickBot="1">
      <c r="A47" s="31" t="s">
        <v>208</v>
      </c>
      <c r="B47" s="157" t="s">
        <v>209</v>
      </c>
      <c r="C47" s="120" t="s">
        <v>185</v>
      </c>
      <c r="D47" s="44" t="s">
        <v>139</v>
      </c>
      <c r="E47" s="44" t="s">
        <v>103</v>
      </c>
      <c r="F47" s="121">
        <v>315680</v>
      </c>
      <c r="G47" s="125">
        <v>46001</v>
      </c>
      <c r="H47" s="196">
        <f t="shared" si="79"/>
        <v>181580</v>
      </c>
      <c r="I47" s="195">
        <f t="shared" si="56"/>
        <v>0</v>
      </c>
      <c r="J47" s="197">
        <v>29800</v>
      </c>
      <c r="K47" s="198">
        <v>0</v>
      </c>
      <c r="L47" s="170"/>
      <c r="M47" s="33">
        <f t="shared" si="57"/>
        <v>9.4399391789153575E-2</v>
      </c>
      <c r="N47" s="120" t="s">
        <v>104</v>
      </c>
      <c r="O47" s="34">
        <v>0</v>
      </c>
      <c r="P47" s="34">
        <v>0</v>
      </c>
      <c r="Q47" s="34"/>
      <c r="R47" s="34"/>
      <c r="S47" s="34">
        <f t="shared" si="58"/>
        <v>0</v>
      </c>
      <c r="T47" s="121">
        <f t="shared" si="59"/>
        <v>315680</v>
      </c>
      <c r="U47" s="35">
        <f t="shared" si="80"/>
        <v>1</v>
      </c>
      <c r="V47" s="40">
        <f t="shared" si="81"/>
        <v>0.33039787126203751</v>
      </c>
      <c r="W47" s="32">
        <v>104300</v>
      </c>
      <c r="X47" s="124"/>
      <c r="Y47" s="36">
        <v>104300</v>
      </c>
      <c r="Z47" s="40">
        <f t="shared" si="62"/>
        <v>0</v>
      </c>
      <c r="AA47" s="32"/>
      <c r="AB47" s="124"/>
      <c r="AC47" s="36"/>
      <c r="AD47" s="40">
        <f t="shared" si="54"/>
        <v>0</v>
      </c>
      <c r="AE47" s="32"/>
      <c r="AF47" s="124"/>
      <c r="AG47" s="36"/>
      <c r="AH47" s="40">
        <f t="shared" si="63"/>
        <v>0</v>
      </c>
      <c r="AI47" s="32"/>
      <c r="AJ47" s="124"/>
      <c r="AK47" s="36"/>
      <c r="AL47" s="40">
        <f t="shared" si="64"/>
        <v>4.7199695894576787E-2</v>
      </c>
      <c r="AM47" s="32">
        <v>14900</v>
      </c>
      <c r="AN47" s="124"/>
      <c r="AO47" s="228"/>
      <c r="AP47" s="40">
        <f t="shared" si="65"/>
        <v>0</v>
      </c>
      <c r="AQ47" s="32"/>
      <c r="AR47" s="124"/>
      <c r="AS47" s="122"/>
      <c r="AT47" s="40">
        <f t="shared" si="66"/>
        <v>0.31677648251393814</v>
      </c>
      <c r="AU47" s="32">
        <v>100000</v>
      </c>
      <c r="AV47" s="124"/>
      <c r="AW47" s="36"/>
      <c r="AX47" s="40">
        <f t="shared" si="67"/>
        <v>0</v>
      </c>
      <c r="AY47" s="32"/>
      <c r="AZ47" s="124"/>
      <c r="BA47" s="36"/>
      <c r="BB47" s="40">
        <f t="shared" si="68"/>
        <v>0</v>
      </c>
      <c r="BC47" s="32"/>
      <c r="BD47" s="124"/>
      <c r="BE47" s="36"/>
      <c r="BF47" s="40">
        <f t="shared" si="69"/>
        <v>0</v>
      </c>
      <c r="BG47" s="32"/>
      <c r="BH47" s="124"/>
      <c r="BI47" s="36"/>
      <c r="BJ47" s="40">
        <f t="shared" si="70"/>
        <v>0</v>
      </c>
      <c r="BK47" s="32"/>
      <c r="BL47" s="124"/>
      <c r="BM47" s="36"/>
      <c r="BN47" s="40">
        <f t="shared" si="71"/>
        <v>0</v>
      </c>
      <c r="BO47" s="32"/>
      <c r="BP47" s="124"/>
      <c r="BQ47" s="36"/>
      <c r="BR47" s="37">
        <f t="shared" si="82"/>
        <v>0.57520273694880886</v>
      </c>
      <c r="BS47" s="38">
        <f t="shared" si="73"/>
        <v>66680</v>
      </c>
      <c r="BT47" s="38">
        <f t="shared" si="55"/>
        <v>219200</v>
      </c>
      <c r="BU47" s="38">
        <f t="shared" si="48"/>
        <v>104300</v>
      </c>
      <c r="BV47" s="39">
        <f t="shared" si="74"/>
        <v>114900</v>
      </c>
      <c r="BW47" s="37">
        <f t="shared" si="75"/>
        <v>0.47582116788321166</v>
      </c>
      <c r="BX47" s="39">
        <f t="shared" si="76"/>
        <v>134100</v>
      </c>
      <c r="BY47" s="223">
        <f t="shared" si="77"/>
        <v>134100</v>
      </c>
      <c r="BZ47" s="39">
        <f t="shared" si="78"/>
        <v>0</v>
      </c>
    </row>
    <row r="48" spans="1:78" ht="12.75" customHeight="1" thickBot="1">
      <c r="A48" s="31" t="s">
        <v>210</v>
      </c>
      <c r="B48" s="157" t="s">
        <v>211</v>
      </c>
      <c r="C48" s="120" t="s">
        <v>147</v>
      </c>
      <c r="D48" s="44" t="s">
        <v>139</v>
      </c>
      <c r="E48" s="44" t="s">
        <v>103</v>
      </c>
      <c r="F48" s="121">
        <v>142000</v>
      </c>
      <c r="G48" s="125">
        <v>46006</v>
      </c>
      <c r="H48" s="196">
        <f t="shared" si="79"/>
        <v>142000</v>
      </c>
      <c r="I48" s="195">
        <f t="shared" si="56"/>
        <v>0</v>
      </c>
      <c r="J48" s="197">
        <v>0</v>
      </c>
      <c r="K48" s="198">
        <v>0</v>
      </c>
      <c r="L48" s="170"/>
      <c r="M48" s="33">
        <f t="shared" si="57"/>
        <v>0</v>
      </c>
      <c r="N48" s="120" t="s">
        <v>151</v>
      </c>
      <c r="O48" s="34">
        <v>0</v>
      </c>
      <c r="P48" s="34">
        <v>0</v>
      </c>
      <c r="Q48" s="34"/>
      <c r="R48" s="34"/>
      <c r="S48" s="34">
        <f t="shared" si="58"/>
        <v>0</v>
      </c>
      <c r="T48" s="121">
        <f t="shared" si="59"/>
        <v>142000</v>
      </c>
      <c r="U48" s="35">
        <f t="shared" si="80"/>
        <v>1</v>
      </c>
      <c r="V48" s="40">
        <f t="shared" si="81"/>
        <v>0</v>
      </c>
      <c r="W48" s="32"/>
      <c r="X48" s="124"/>
      <c r="Y48" s="36"/>
      <c r="Z48" s="40">
        <f t="shared" si="62"/>
        <v>0</v>
      </c>
      <c r="AA48" s="32"/>
      <c r="AB48" s="124"/>
      <c r="AC48" s="36"/>
      <c r="AD48" s="40">
        <f t="shared" si="54"/>
        <v>0</v>
      </c>
      <c r="AE48" s="32"/>
      <c r="AF48" s="124"/>
      <c r="AG48" s="36"/>
      <c r="AH48" s="40">
        <f t="shared" si="63"/>
        <v>0</v>
      </c>
      <c r="AI48" s="32"/>
      <c r="AJ48" s="124"/>
      <c r="AK48" s="36"/>
      <c r="AL48" s="40">
        <f t="shared" si="64"/>
        <v>0</v>
      </c>
      <c r="AM48" s="32"/>
      <c r="AN48" s="124"/>
      <c r="AO48" s="228"/>
      <c r="AP48" s="40">
        <f t="shared" si="65"/>
        <v>0.44014084507042256</v>
      </c>
      <c r="AQ48" s="32">
        <v>62500</v>
      </c>
      <c r="AR48" s="124"/>
      <c r="AS48" s="122"/>
      <c r="AT48" s="40">
        <f t="shared" si="66"/>
        <v>0</v>
      </c>
      <c r="AU48" s="32"/>
      <c r="AV48" s="124"/>
      <c r="AW48" s="36"/>
      <c r="AX48" s="40">
        <f t="shared" si="67"/>
        <v>0</v>
      </c>
      <c r="AY48" s="32"/>
      <c r="AZ48" s="124"/>
      <c r="BA48" s="36"/>
      <c r="BB48" s="40">
        <f t="shared" si="68"/>
        <v>0</v>
      </c>
      <c r="BC48" s="32"/>
      <c r="BD48" s="124"/>
      <c r="BE48" s="36"/>
      <c r="BF48" s="40">
        <f t="shared" si="69"/>
        <v>0</v>
      </c>
      <c r="BG48" s="32"/>
      <c r="BH48" s="124"/>
      <c r="BI48" s="36"/>
      <c r="BJ48" s="40">
        <f t="shared" si="70"/>
        <v>0</v>
      </c>
      <c r="BK48" s="32"/>
      <c r="BL48" s="124"/>
      <c r="BM48" s="36"/>
      <c r="BN48" s="40">
        <f t="shared" si="71"/>
        <v>0</v>
      </c>
      <c r="BO48" s="32"/>
      <c r="BP48" s="124"/>
      <c r="BQ48" s="36"/>
      <c r="BR48" s="37">
        <f t="shared" si="82"/>
        <v>1</v>
      </c>
      <c r="BS48" s="38">
        <f t="shared" si="73"/>
        <v>79500</v>
      </c>
      <c r="BT48" s="38">
        <f t="shared" si="55"/>
        <v>62500</v>
      </c>
      <c r="BU48" s="38">
        <f t="shared" si="48"/>
        <v>0</v>
      </c>
      <c r="BV48" s="39">
        <f t="shared" si="74"/>
        <v>62500</v>
      </c>
      <c r="BW48" s="37">
        <f t="shared" si="75"/>
        <v>0</v>
      </c>
      <c r="BX48" s="39">
        <f t="shared" si="76"/>
        <v>0</v>
      </c>
      <c r="BY48" s="223">
        <f t="shared" si="77"/>
        <v>0</v>
      </c>
      <c r="BZ48" s="39">
        <f t="shared" si="78"/>
        <v>0</v>
      </c>
    </row>
    <row r="49" spans="1:78" ht="12.75" customHeight="1" thickBot="1">
      <c r="A49" s="31" t="s">
        <v>212</v>
      </c>
      <c r="B49" s="157" t="s">
        <v>213</v>
      </c>
      <c r="C49" s="120" t="s">
        <v>144</v>
      </c>
      <c r="D49" s="44" t="s">
        <v>139</v>
      </c>
      <c r="E49" s="44" t="s">
        <v>109</v>
      </c>
      <c r="F49" s="121">
        <v>81540</v>
      </c>
      <c r="G49" s="125">
        <v>46006</v>
      </c>
      <c r="H49" s="196">
        <f t="shared" si="79"/>
        <v>0</v>
      </c>
      <c r="I49" s="195">
        <f t="shared" si="56"/>
        <v>0</v>
      </c>
      <c r="J49" s="197">
        <v>0</v>
      </c>
      <c r="K49" s="198">
        <v>0</v>
      </c>
      <c r="L49" s="170"/>
      <c r="M49" s="33">
        <f t="shared" si="57"/>
        <v>0</v>
      </c>
      <c r="N49" s="120" t="s">
        <v>151</v>
      </c>
      <c r="O49" s="34">
        <v>0</v>
      </c>
      <c r="P49" s="34">
        <v>0</v>
      </c>
      <c r="Q49" s="34"/>
      <c r="R49" s="34"/>
      <c r="S49" s="34">
        <f t="shared" si="58"/>
        <v>0</v>
      </c>
      <c r="T49" s="121">
        <f t="shared" si="59"/>
        <v>81540</v>
      </c>
      <c r="U49" s="35">
        <f t="shared" si="80"/>
        <v>1</v>
      </c>
      <c r="V49" s="40">
        <f t="shared" si="81"/>
        <v>1</v>
      </c>
      <c r="W49" s="32">
        <v>81540</v>
      </c>
      <c r="X49" s="124"/>
      <c r="Y49" s="36">
        <v>81540</v>
      </c>
      <c r="Z49" s="40">
        <f t="shared" si="62"/>
        <v>0</v>
      </c>
      <c r="AA49" s="32"/>
      <c r="AB49" s="124"/>
      <c r="AC49" s="36"/>
      <c r="AD49" s="40">
        <f t="shared" si="54"/>
        <v>0</v>
      </c>
      <c r="AE49" s="32"/>
      <c r="AF49" s="124"/>
      <c r="AG49" s="36"/>
      <c r="AH49" s="40">
        <f t="shared" si="63"/>
        <v>0</v>
      </c>
      <c r="AI49" s="32"/>
      <c r="AJ49" s="124"/>
      <c r="AK49" s="36"/>
      <c r="AL49" s="40">
        <f t="shared" si="64"/>
        <v>0</v>
      </c>
      <c r="AM49" s="32"/>
      <c r="AN49" s="124"/>
      <c r="AO49" s="228"/>
      <c r="AP49" s="40">
        <f t="shared" si="65"/>
        <v>0</v>
      </c>
      <c r="AQ49" s="32"/>
      <c r="AR49" s="124"/>
      <c r="AS49" s="122"/>
      <c r="AT49" s="40">
        <f t="shared" si="66"/>
        <v>0</v>
      </c>
      <c r="AU49" s="32"/>
      <c r="AV49" s="124"/>
      <c r="AW49" s="36"/>
      <c r="AX49" s="40">
        <f t="shared" si="67"/>
        <v>0</v>
      </c>
      <c r="AY49" s="32"/>
      <c r="AZ49" s="124"/>
      <c r="BA49" s="36"/>
      <c r="BB49" s="40">
        <f t="shared" si="68"/>
        <v>0</v>
      </c>
      <c r="BC49" s="32"/>
      <c r="BD49" s="124"/>
      <c r="BE49" s="36"/>
      <c r="BF49" s="40">
        <f t="shared" si="69"/>
        <v>0</v>
      </c>
      <c r="BG49" s="32"/>
      <c r="BH49" s="124"/>
      <c r="BI49" s="36"/>
      <c r="BJ49" s="40">
        <f t="shared" si="70"/>
        <v>0</v>
      </c>
      <c r="BK49" s="32"/>
      <c r="BL49" s="124"/>
      <c r="BM49" s="36"/>
      <c r="BN49" s="40">
        <f t="shared" si="71"/>
        <v>0</v>
      </c>
      <c r="BO49" s="32"/>
      <c r="BP49" s="124"/>
      <c r="BQ49" s="36"/>
      <c r="BR49" s="37">
        <f t="shared" si="82"/>
        <v>0</v>
      </c>
      <c r="BS49" s="38">
        <f t="shared" si="73"/>
        <v>0</v>
      </c>
      <c r="BT49" s="38">
        <f t="shared" si="55"/>
        <v>81540</v>
      </c>
      <c r="BU49" s="38">
        <f t="shared" si="48"/>
        <v>81540</v>
      </c>
      <c r="BV49" s="39">
        <f t="shared" si="74"/>
        <v>0</v>
      </c>
      <c r="BW49" s="37">
        <f t="shared" si="75"/>
        <v>1</v>
      </c>
      <c r="BX49" s="39">
        <f t="shared" si="76"/>
        <v>81540</v>
      </c>
      <c r="BY49" s="223">
        <f t="shared" si="77"/>
        <v>81540</v>
      </c>
      <c r="BZ49" s="39">
        <f t="shared" si="78"/>
        <v>0</v>
      </c>
    </row>
    <row r="50" spans="1:78" ht="12.75" customHeight="1" thickBot="1">
      <c r="A50" s="31" t="s">
        <v>214</v>
      </c>
      <c r="B50" s="157" t="s">
        <v>215</v>
      </c>
      <c r="C50" s="120" t="s">
        <v>107</v>
      </c>
      <c r="D50" s="44" t="s">
        <v>139</v>
      </c>
      <c r="E50" s="44" t="s">
        <v>136</v>
      </c>
      <c r="F50" s="121">
        <v>3094000</v>
      </c>
      <c r="G50" s="125">
        <v>46030</v>
      </c>
      <c r="H50" s="196">
        <f t="shared" si="79"/>
        <v>2167000</v>
      </c>
      <c r="I50" s="195">
        <f t="shared" si="56"/>
        <v>0</v>
      </c>
      <c r="J50" s="197">
        <v>0</v>
      </c>
      <c r="K50" s="198">
        <v>0</v>
      </c>
      <c r="L50" s="170"/>
      <c r="M50" s="33">
        <f t="shared" si="57"/>
        <v>0</v>
      </c>
      <c r="N50" s="120" t="s">
        <v>151</v>
      </c>
      <c r="O50" s="34">
        <v>0</v>
      </c>
      <c r="P50" s="34">
        <v>0</v>
      </c>
      <c r="Q50" s="34"/>
      <c r="R50" s="34"/>
      <c r="S50" s="34">
        <f t="shared" si="58"/>
        <v>0</v>
      </c>
      <c r="T50" s="121">
        <f t="shared" si="59"/>
        <v>3094000</v>
      </c>
      <c r="U50" s="35">
        <f t="shared" si="80"/>
        <v>1</v>
      </c>
      <c r="V50" s="40">
        <f t="shared" si="81"/>
        <v>0.12508080155138979</v>
      </c>
      <c r="W50" s="32">
        <v>387000</v>
      </c>
      <c r="X50" s="124">
        <v>387000</v>
      </c>
      <c r="Y50" s="36"/>
      <c r="Z50" s="40">
        <f t="shared" si="62"/>
        <v>0.29961215255332901</v>
      </c>
      <c r="AA50" s="32">
        <v>927000</v>
      </c>
      <c r="AB50" s="124">
        <v>-387000</v>
      </c>
      <c r="AC50" s="36">
        <v>927000</v>
      </c>
      <c r="AD50" s="40">
        <f t="shared" si="54"/>
        <v>0</v>
      </c>
      <c r="AE50" s="32"/>
      <c r="AF50" s="124"/>
      <c r="AG50" s="36"/>
      <c r="AH50" s="40">
        <f t="shared" si="63"/>
        <v>0</v>
      </c>
      <c r="AI50" s="32"/>
      <c r="AJ50" s="124"/>
      <c r="AK50" s="36"/>
      <c r="AL50" s="40">
        <f t="shared" si="64"/>
        <v>0</v>
      </c>
      <c r="AM50" s="32"/>
      <c r="AN50" s="124"/>
      <c r="AO50" s="228"/>
      <c r="AP50" s="40">
        <f t="shared" si="65"/>
        <v>0.69909502262443435</v>
      </c>
      <c r="AQ50" s="32">
        <v>2163000</v>
      </c>
      <c r="AR50" s="124"/>
      <c r="AS50" s="122"/>
      <c r="AT50" s="40">
        <f t="shared" si="66"/>
        <v>0</v>
      </c>
      <c r="AU50" s="32"/>
      <c r="AV50" s="124"/>
      <c r="AW50" s="36"/>
      <c r="AX50" s="40">
        <f t="shared" si="67"/>
        <v>0</v>
      </c>
      <c r="AY50" s="32"/>
      <c r="AZ50" s="124"/>
      <c r="BA50" s="36"/>
      <c r="BB50" s="40">
        <f t="shared" si="68"/>
        <v>0</v>
      </c>
      <c r="BC50" s="32"/>
      <c r="BD50" s="124"/>
      <c r="BE50" s="36"/>
      <c r="BF50" s="40">
        <f t="shared" si="69"/>
        <v>0</v>
      </c>
      <c r="BG50" s="32"/>
      <c r="BH50" s="124"/>
      <c r="BI50" s="36"/>
      <c r="BJ50" s="40">
        <f t="shared" si="70"/>
        <v>0</v>
      </c>
      <c r="BK50" s="32"/>
      <c r="BL50" s="124"/>
      <c r="BM50" s="36"/>
      <c r="BN50" s="40">
        <f t="shared" si="71"/>
        <v>0</v>
      </c>
      <c r="BO50" s="32"/>
      <c r="BP50" s="124"/>
      <c r="BQ50" s="36"/>
      <c r="BR50" s="37">
        <f t="shared" si="82"/>
        <v>0.70038784744667093</v>
      </c>
      <c r="BS50" s="38">
        <f t="shared" si="73"/>
        <v>-383000</v>
      </c>
      <c r="BT50" s="38">
        <f t="shared" si="55"/>
        <v>3477000</v>
      </c>
      <c r="BU50" s="38">
        <f t="shared" si="48"/>
        <v>927000</v>
      </c>
      <c r="BV50" s="39">
        <f t="shared" si="74"/>
        <v>2550000</v>
      </c>
      <c r="BW50" s="37">
        <f t="shared" si="75"/>
        <v>0.26660914581535805</v>
      </c>
      <c r="BX50" s="39">
        <f t="shared" si="76"/>
        <v>927000</v>
      </c>
      <c r="BY50" s="223">
        <f t="shared" si="77"/>
        <v>927000</v>
      </c>
      <c r="BZ50" s="39">
        <f t="shared" si="78"/>
        <v>0</v>
      </c>
    </row>
    <row r="51" spans="1:78" ht="12.75" customHeight="1" thickBot="1">
      <c r="A51" s="31" t="s">
        <v>216</v>
      </c>
      <c r="B51" s="157" t="s">
        <v>217</v>
      </c>
      <c r="C51" s="120" t="s">
        <v>107</v>
      </c>
      <c r="D51" s="44" t="s">
        <v>102</v>
      </c>
      <c r="E51" s="44" t="s">
        <v>125</v>
      </c>
      <c r="F51" s="121">
        <v>1063558.7</v>
      </c>
      <c r="G51" s="125">
        <v>45352</v>
      </c>
      <c r="H51" s="196">
        <f t="shared" si="79"/>
        <v>-13216.000000000116</v>
      </c>
      <c r="I51" s="195">
        <f t="shared" si="56"/>
        <v>36354.300000000003</v>
      </c>
      <c r="J51" s="197">
        <v>1023963.4</v>
      </c>
      <c r="K51" s="198">
        <v>36354.300000000003</v>
      </c>
      <c r="L51" s="170"/>
      <c r="M51" s="33">
        <f t="shared" si="57"/>
        <v>0.99695268347670896</v>
      </c>
      <c r="N51" s="120" t="s">
        <v>104</v>
      </c>
      <c r="O51" s="34">
        <v>0</v>
      </c>
      <c r="P51" s="34">
        <v>0</v>
      </c>
      <c r="Q51" s="34"/>
      <c r="R51" s="34"/>
      <c r="S51" s="34">
        <f t="shared" si="58"/>
        <v>0</v>
      </c>
      <c r="T51" s="121">
        <f t="shared" si="59"/>
        <v>1063558.7</v>
      </c>
      <c r="U51" s="35">
        <f t="shared" si="80"/>
        <v>1</v>
      </c>
      <c r="V51" s="40">
        <f t="shared" si="81"/>
        <v>3.7228786713888011E-2</v>
      </c>
      <c r="W51" s="32">
        <v>39595</v>
      </c>
      <c r="X51" s="124">
        <v>15492.19</v>
      </c>
      <c r="Y51" s="36"/>
      <c r="Z51" s="40">
        <f t="shared" si="62"/>
        <v>1.5473522994076398E-2</v>
      </c>
      <c r="AA51" s="32">
        <v>16457</v>
      </c>
      <c r="AB51" s="124">
        <v>-15492.19</v>
      </c>
      <c r="AC51" s="36">
        <v>16457</v>
      </c>
      <c r="AD51" s="40">
        <f t="shared" si="54"/>
        <v>0</v>
      </c>
      <c r="AE51" s="32"/>
      <c r="AF51" s="124"/>
      <c r="AG51" s="36"/>
      <c r="AH51" s="40">
        <f t="shared" si="63"/>
        <v>0</v>
      </c>
      <c r="AI51" s="32"/>
      <c r="AJ51" s="124"/>
      <c r="AK51" s="36"/>
      <c r="AL51" s="40">
        <f t="shared" si="64"/>
        <v>1.5473522994076398E-2</v>
      </c>
      <c r="AM51" s="32">
        <v>16457</v>
      </c>
      <c r="AN51" s="124"/>
      <c r="AO51" s="228"/>
      <c r="AP51" s="40">
        <f t="shared" si="65"/>
        <v>0</v>
      </c>
      <c r="AQ51" s="32"/>
      <c r="AR51" s="124"/>
      <c r="AS51" s="122"/>
      <c r="AT51" s="40">
        <f t="shared" si="66"/>
        <v>0</v>
      </c>
      <c r="AU51" s="32"/>
      <c r="AV51" s="124"/>
      <c r="AW51" s="36"/>
      <c r="AX51" s="40">
        <f t="shared" si="67"/>
        <v>0</v>
      </c>
      <c r="AY51" s="32"/>
      <c r="AZ51" s="124"/>
      <c r="BA51" s="36"/>
      <c r="BB51" s="40">
        <f t="shared" si="68"/>
        <v>0</v>
      </c>
      <c r="BC51" s="32"/>
      <c r="BD51" s="124"/>
      <c r="BE51" s="36"/>
      <c r="BF51" s="40">
        <f t="shared" si="69"/>
        <v>0</v>
      </c>
      <c r="BG51" s="32"/>
      <c r="BH51" s="124"/>
      <c r="BI51" s="36"/>
      <c r="BJ51" s="40">
        <f t="shared" si="70"/>
        <v>0</v>
      </c>
      <c r="BK51" s="32"/>
      <c r="BL51" s="124"/>
      <c r="BM51" s="36"/>
      <c r="BN51" s="40">
        <f t="shared" si="71"/>
        <v>0</v>
      </c>
      <c r="BO51" s="32"/>
      <c r="BP51" s="124"/>
      <c r="BQ51" s="36"/>
      <c r="BR51" s="37">
        <f t="shared" si="82"/>
        <v>-1.2426206470785406E-2</v>
      </c>
      <c r="BS51" s="38">
        <f t="shared" si="73"/>
        <v>-69268.000000000073</v>
      </c>
      <c r="BT51" s="38">
        <f t="shared" si="55"/>
        <v>72509</v>
      </c>
      <c r="BU51" s="38">
        <f t="shared" si="48"/>
        <v>16457</v>
      </c>
      <c r="BV51" s="39">
        <f t="shared" si="74"/>
        <v>56052</v>
      </c>
      <c r="BW51" s="37">
        <v>0</v>
      </c>
      <c r="BX51" s="39">
        <f t="shared" si="76"/>
        <v>1055912.3999999999</v>
      </c>
      <c r="BY51" s="223">
        <f t="shared" si="77"/>
        <v>1040420.4</v>
      </c>
      <c r="BZ51" s="352">
        <v>15492</v>
      </c>
    </row>
    <row r="52" spans="1:78" ht="12.75" customHeight="1" thickBot="1">
      <c r="A52" s="31" t="s">
        <v>218</v>
      </c>
      <c r="B52" s="157" t="s">
        <v>219</v>
      </c>
      <c r="C52" s="120" t="s">
        <v>207</v>
      </c>
      <c r="D52" s="44" t="s">
        <v>154</v>
      </c>
      <c r="E52" s="44" t="s">
        <v>109</v>
      </c>
      <c r="F52" s="121">
        <v>82466</v>
      </c>
      <c r="G52" s="125">
        <v>45728</v>
      </c>
      <c r="H52" s="196">
        <f t="shared" si="79"/>
        <v>0</v>
      </c>
      <c r="I52" s="195">
        <f>K52+X52+AB52+AF52+AJ52+AN52+AR52+AV52+AZ52+BD52+BH52+BL52+BP52</f>
        <v>0</v>
      </c>
      <c r="J52" s="199">
        <v>82466</v>
      </c>
      <c r="K52" s="198">
        <v>0</v>
      </c>
      <c r="L52" s="170"/>
      <c r="M52" s="33">
        <f t="shared" si="57"/>
        <v>1</v>
      </c>
      <c r="N52" s="120" t="s">
        <v>128</v>
      </c>
      <c r="O52" s="34">
        <v>0</v>
      </c>
      <c r="P52" s="34">
        <v>0</v>
      </c>
      <c r="Q52" s="34"/>
      <c r="R52" s="34"/>
      <c r="S52" s="34">
        <f t="shared" si="58"/>
        <v>0</v>
      </c>
      <c r="T52" s="121">
        <f t="shared" si="59"/>
        <v>82466</v>
      </c>
      <c r="U52" s="35">
        <v>1</v>
      </c>
      <c r="V52" s="40">
        <v>0</v>
      </c>
      <c r="W52" s="32"/>
      <c r="X52" s="124"/>
      <c r="Y52" s="36"/>
      <c r="Z52" s="40">
        <f t="shared" si="62"/>
        <v>0</v>
      </c>
      <c r="AA52" s="32"/>
      <c r="AB52" s="124"/>
      <c r="AC52" s="36"/>
      <c r="AD52" s="40">
        <f t="shared" si="54"/>
        <v>0</v>
      </c>
      <c r="AE52" s="32"/>
      <c r="AF52" s="124"/>
      <c r="AG52" s="36"/>
      <c r="AH52" s="40">
        <f t="shared" si="63"/>
        <v>0</v>
      </c>
      <c r="AI52" s="32"/>
      <c r="AJ52" s="124"/>
      <c r="AK52" s="36"/>
      <c r="AL52" s="40">
        <f t="shared" si="64"/>
        <v>0</v>
      </c>
      <c r="AM52" s="32"/>
      <c r="AN52" s="124"/>
      <c r="AO52" s="228"/>
      <c r="AP52" s="40">
        <f t="shared" si="65"/>
        <v>0</v>
      </c>
      <c r="AQ52" s="32"/>
      <c r="AR52" s="124"/>
      <c r="AS52" s="122"/>
      <c r="AT52" s="40">
        <f t="shared" ref="AT52" si="83" xml:space="preserve"> IF(F52=0,"",(AU52/F52))</f>
        <v>0</v>
      </c>
      <c r="AU52" s="32"/>
      <c r="AV52" s="124"/>
      <c r="AW52" s="36"/>
      <c r="AX52" s="40">
        <f t="shared" si="67"/>
        <v>0</v>
      </c>
      <c r="AY52" s="32"/>
      <c r="AZ52" s="124"/>
      <c r="BA52" s="36"/>
      <c r="BB52" s="40">
        <f t="shared" si="68"/>
        <v>0</v>
      </c>
      <c r="BC52" s="32"/>
      <c r="BD52" s="124"/>
      <c r="BE52" s="36"/>
      <c r="BF52" s="40">
        <f t="shared" si="69"/>
        <v>0</v>
      </c>
      <c r="BG52" s="32"/>
      <c r="BH52" s="124"/>
      <c r="BI52" s="36"/>
      <c r="BJ52" s="40">
        <f t="shared" si="70"/>
        <v>0</v>
      </c>
      <c r="BK52" s="32"/>
      <c r="BL52" s="124"/>
      <c r="BM52" s="36"/>
      <c r="BN52" s="40">
        <f xml:space="preserve"> IF(F52=0,"",(BO52/F52))</f>
        <v>0</v>
      </c>
      <c r="BO52" s="32"/>
      <c r="BP52" s="124"/>
      <c r="BQ52" s="36"/>
      <c r="BR52" s="37">
        <f t="shared" si="82"/>
        <v>0</v>
      </c>
      <c r="BS52" s="38">
        <f t="shared" si="73"/>
        <v>0</v>
      </c>
      <c r="BT52" s="38">
        <f>W52+AA52+AE52+AI52+AM52+AQ52+AU52+AY52+BC52+BG52+BK52+BO52</f>
        <v>0</v>
      </c>
      <c r="BU52" s="38">
        <f t="shared" si="48"/>
        <v>0</v>
      </c>
      <c r="BV52" s="39">
        <f t="shared" si="74"/>
        <v>0</v>
      </c>
      <c r="BW52" s="37" t="str">
        <f t="shared" si="75"/>
        <v/>
      </c>
      <c r="BX52" s="39">
        <f t="shared" si="76"/>
        <v>82466</v>
      </c>
      <c r="BY52" s="223">
        <f t="shared" si="77"/>
        <v>82466</v>
      </c>
      <c r="BZ52" s="360">
        <v>0</v>
      </c>
    </row>
    <row r="53" spans="1:78" ht="12.75" customHeight="1">
      <c r="A53" s="31" t="s">
        <v>220</v>
      </c>
      <c r="B53" s="157" t="s">
        <v>221</v>
      </c>
      <c r="C53" s="120" t="s">
        <v>150</v>
      </c>
      <c r="D53" s="44" t="s">
        <v>139</v>
      </c>
      <c r="E53" s="44" t="s">
        <v>109</v>
      </c>
      <c r="F53" s="121">
        <v>323814</v>
      </c>
      <c r="G53" s="125">
        <v>46072</v>
      </c>
      <c r="H53" s="196">
        <f t="shared" si="79"/>
        <v>323814</v>
      </c>
      <c r="I53" s="195">
        <f t="shared" ref="I53:I56" si="84">K53+X53+AB53+AF53+AJ53+AN53+AR53+AV53+AZ53+BD53+BH53+BL53+BP53</f>
        <v>0</v>
      </c>
      <c r="J53" s="197">
        <v>0</v>
      </c>
      <c r="K53" s="198">
        <v>0</v>
      </c>
      <c r="L53" s="170"/>
      <c r="M53" s="33">
        <f t="shared" ref="M53:M57" si="85">IF(F53=0,0,(J53+K53)/F53)</f>
        <v>0</v>
      </c>
      <c r="N53" s="120" t="s">
        <v>151</v>
      </c>
      <c r="O53" s="34">
        <v>0</v>
      </c>
      <c r="P53" s="34">
        <v>0</v>
      </c>
      <c r="Q53" s="34"/>
      <c r="R53" s="34"/>
      <c r="S53" s="34">
        <f t="shared" ref="S53:S57" si="86">(L53*R53)+(Q53*R53)</f>
        <v>0</v>
      </c>
      <c r="T53" s="121">
        <f t="shared" ref="T53:T57" si="87">F53-O53-P53-S53</f>
        <v>323814</v>
      </c>
      <c r="U53" s="35">
        <f t="shared" si="80"/>
        <v>1</v>
      </c>
      <c r="V53" s="40">
        <v>0</v>
      </c>
      <c r="W53" s="32"/>
      <c r="X53" s="124"/>
      <c r="Y53" s="36"/>
      <c r="Z53" s="40">
        <f xml:space="preserve"> IF(F53=0,"",(AA53/F53))</f>
        <v>0</v>
      </c>
      <c r="AA53" s="32"/>
      <c r="AB53" s="124"/>
      <c r="AC53" s="36"/>
      <c r="AD53" s="40">
        <f xml:space="preserve"> IF(F53=0,"",(AE53/F53))</f>
        <v>0</v>
      </c>
      <c r="AE53" s="32"/>
      <c r="AF53" s="124"/>
      <c r="AG53" s="36"/>
      <c r="AH53" s="40">
        <f t="shared" si="63"/>
        <v>0.19999752944591648</v>
      </c>
      <c r="AI53" s="32">
        <v>64762</v>
      </c>
      <c r="AJ53" s="124"/>
      <c r="AK53" s="36"/>
      <c r="AL53" s="40">
        <f t="shared" ref="AL53:AL57" si="88" xml:space="preserve"> IF(F53=0,"",(AM53/F53))</f>
        <v>0</v>
      </c>
      <c r="AM53" s="32"/>
      <c r="AN53" s="124"/>
      <c r="AO53" s="228"/>
      <c r="AP53" s="40">
        <f t="shared" ref="AP53:AP57" si="89" xml:space="preserve"> IF(F53=0,"",(AQ53/F53))</f>
        <v>0.59999876472295821</v>
      </c>
      <c r="AQ53" s="32">
        <v>194288</v>
      </c>
      <c r="AR53" s="124"/>
      <c r="AS53" s="122"/>
      <c r="AT53" s="40">
        <f t="shared" ref="AT53:AT57" si="90" xml:space="preserve"> IF(F53=0,"",(AU53/F53))</f>
        <v>0</v>
      </c>
      <c r="AU53" s="32"/>
      <c r="AV53" s="124"/>
      <c r="AW53" s="36"/>
      <c r="AX53" s="40">
        <f t="shared" ref="AX53:AX57" si="91" xml:space="preserve"> IF(F53=0,"",(AY53/F53))</f>
        <v>0</v>
      </c>
      <c r="AY53" s="32"/>
      <c r="AZ53" s="124"/>
      <c r="BA53" s="36"/>
      <c r="BB53" s="40">
        <f t="shared" ref="BB53:BB57" si="92" xml:space="preserve"> IF(F53=0,"",(BC53/F53))</f>
        <v>0</v>
      </c>
      <c r="BC53" s="32"/>
      <c r="BD53" s="124"/>
      <c r="BE53" s="36"/>
      <c r="BF53" s="40">
        <f t="shared" ref="BF53:BF57" si="93" xml:space="preserve"> IF(F53=0,"",(BG53/F53))</f>
        <v>0</v>
      </c>
      <c r="BG53" s="32"/>
      <c r="BH53" s="124"/>
      <c r="BI53" s="36"/>
      <c r="BJ53" s="40">
        <f t="shared" si="70"/>
        <v>0</v>
      </c>
      <c r="BK53" s="32"/>
      <c r="BL53" s="124"/>
      <c r="BM53" s="36"/>
      <c r="BN53" s="40">
        <f t="shared" ref="BN53:BN56" si="94" xml:space="preserve"> IF(F53=0,"",(BO53/F53))</f>
        <v>0</v>
      </c>
      <c r="BO53" s="32"/>
      <c r="BP53" s="124"/>
      <c r="BQ53" s="36"/>
      <c r="BR53" s="37">
        <f t="shared" si="82"/>
        <v>1</v>
      </c>
      <c r="BS53" s="38">
        <f t="shared" si="73"/>
        <v>64764</v>
      </c>
      <c r="BT53" s="38">
        <f>W53+AA53+AE53+AI53+AM53+AQ53+AU53+AY53+BC53+BG53+BK53+BO53</f>
        <v>259050</v>
      </c>
      <c r="BU53" s="38">
        <f t="shared" si="48"/>
        <v>0</v>
      </c>
      <c r="BV53" s="39">
        <f t="shared" si="74"/>
        <v>259050</v>
      </c>
      <c r="BW53" s="37">
        <f t="shared" ref="BW53:BW55" si="95">IF(BT53=0,"",(BU53) / BT53)</f>
        <v>0</v>
      </c>
      <c r="BX53" s="39">
        <f t="shared" ref="BX53:BX57" si="96">BY53+BZ53</f>
        <v>0</v>
      </c>
      <c r="BY53" s="223">
        <f t="shared" si="77"/>
        <v>0</v>
      </c>
      <c r="BZ53" s="39">
        <f t="shared" si="78"/>
        <v>0</v>
      </c>
    </row>
    <row r="54" spans="1:78" ht="12.75" customHeight="1">
      <c r="A54" s="31" t="s">
        <v>222</v>
      </c>
      <c r="B54" s="461" t="s">
        <v>223</v>
      </c>
      <c r="C54" s="120" t="s">
        <v>150</v>
      </c>
      <c r="D54" s="44" t="s">
        <v>139</v>
      </c>
      <c r="E54" s="44" t="s">
        <v>109</v>
      </c>
      <c r="F54" s="121">
        <v>179350</v>
      </c>
      <c r="G54" s="125">
        <v>46076</v>
      </c>
      <c r="H54" s="196">
        <f t="shared" si="79"/>
        <v>179350</v>
      </c>
      <c r="I54" s="195">
        <f t="shared" si="84"/>
        <v>0</v>
      </c>
      <c r="J54" s="197">
        <v>0</v>
      </c>
      <c r="K54" s="198">
        <v>0</v>
      </c>
      <c r="L54" s="170"/>
      <c r="M54" s="33">
        <f t="shared" si="85"/>
        <v>0</v>
      </c>
      <c r="N54" s="120" t="s">
        <v>151</v>
      </c>
      <c r="O54" s="34">
        <v>0</v>
      </c>
      <c r="P54" s="34">
        <v>0</v>
      </c>
      <c r="Q54" s="34"/>
      <c r="R54" s="34"/>
      <c r="S54" s="34">
        <f t="shared" si="86"/>
        <v>0</v>
      </c>
      <c r="T54" s="121">
        <v>270750</v>
      </c>
      <c r="U54" s="35">
        <f t="shared" si="80"/>
        <v>1.5096180652355728</v>
      </c>
      <c r="V54" s="40">
        <v>0</v>
      </c>
      <c r="W54" s="32"/>
      <c r="X54" s="124"/>
      <c r="Y54" s="36"/>
      <c r="Z54" s="40">
        <f t="shared" si="62"/>
        <v>0</v>
      </c>
      <c r="AA54" s="32"/>
      <c r="AB54" s="124"/>
      <c r="AC54" s="36"/>
      <c r="AD54" s="40">
        <f t="shared" si="54"/>
        <v>0</v>
      </c>
      <c r="AE54" s="32"/>
      <c r="AF54" s="124"/>
      <c r="AG54" s="36"/>
      <c r="AH54" s="40">
        <f t="shared" si="63"/>
        <v>0.21940340117089491</v>
      </c>
      <c r="AI54" s="32">
        <v>39350</v>
      </c>
      <c r="AJ54" s="124"/>
      <c r="AK54" s="36"/>
      <c r="AL54" s="40">
        <f t="shared" si="88"/>
        <v>0</v>
      </c>
      <c r="AM54" s="32"/>
      <c r="AN54" s="124"/>
      <c r="AO54" s="228"/>
      <c r="AP54" s="40">
        <f t="shared" si="89"/>
        <v>0.65821020351268467</v>
      </c>
      <c r="AQ54" s="466">
        <v>118050</v>
      </c>
      <c r="AR54" s="124"/>
      <c r="AS54" s="122"/>
      <c r="AT54" s="40">
        <f t="shared" si="90"/>
        <v>0</v>
      </c>
      <c r="AU54" s="32"/>
      <c r="AV54" s="124"/>
      <c r="AW54" s="36"/>
      <c r="AX54" s="40">
        <f t="shared" si="91"/>
        <v>0</v>
      </c>
      <c r="AY54" s="32"/>
      <c r="AZ54" s="124"/>
      <c r="BA54" s="36"/>
      <c r="BB54" s="40">
        <f t="shared" si="92"/>
        <v>0</v>
      </c>
      <c r="BC54" s="32"/>
      <c r="BD54" s="124"/>
      <c r="BE54" s="36"/>
      <c r="BF54" s="40">
        <f t="shared" si="93"/>
        <v>0</v>
      </c>
      <c r="BG54" s="32"/>
      <c r="BH54" s="124"/>
      <c r="BI54" s="36"/>
      <c r="BJ54" s="40">
        <f t="shared" si="70"/>
        <v>0</v>
      </c>
      <c r="BK54" s="32"/>
      <c r="BL54" s="124"/>
      <c r="BM54" s="36"/>
      <c r="BN54" s="40">
        <f t="shared" si="94"/>
        <v>0.52969054920546421</v>
      </c>
      <c r="BO54" s="32">
        <v>95000</v>
      </c>
      <c r="BP54" s="124"/>
      <c r="BQ54" s="36"/>
      <c r="BR54" s="37">
        <f t="shared" si="82"/>
        <v>1</v>
      </c>
      <c r="BS54" s="38">
        <f t="shared" si="73"/>
        <v>-73050</v>
      </c>
      <c r="BT54" s="38">
        <f t="shared" ref="BT54:BT55" si="97">W54+AA54+AE54+AI54+AM54+AQ54+AU54+AY54+BC54+BG54+BK54+BO54</f>
        <v>252400</v>
      </c>
      <c r="BU54" s="38">
        <f t="shared" si="48"/>
        <v>0</v>
      </c>
      <c r="BV54" s="39">
        <f t="shared" si="74"/>
        <v>252400</v>
      </c>
      <c r="BW54" s="37">
        <f t="shared" si="95"/>
        <v>0</v>
      </c>
      <c r="BX54" s="39">
        <f t="shared" si="96"/>
        <v>0</v>
      </c>
      <c r="BY54" s="223">
        <f t="shared" si="77"/>
        <v>0</v>
      </c>
      <c r="BZ54" s="39">
        <f t="shared" si="78"/>
        <v>0</v>
      </c>
    </row>
    <row r="55" spans="1:78" ht="12.75" customHeight="1">
      <c r="A55" s="31" t="s">
        <v>224</v>
      </c>
      <c r="B55" s="157"/>
      <c r="C55" s="120" t="s">
        <v>107</v>
      </c>
      <c r="D55" s="44" t="s">
        <v>108</v>
      </c>
      <c r="E55" s="44" t="s">
        <v>103</v>
      </c>
      <c r="F55" s="121">
        <v>170000</v>
      </c>
      <c r="G55" s="125">
        <v>46054</v>
      </c>
      <c r="H55" s="196">
        <f t="shared" si="79"/>
        <v>170000</v>
      </c>
      <c r="I55" s="195">
        <f t="shared" si="84"/>
        <v>0</v>
      </c>
      <c r="J55" s="197">
        <v>0</v>
      </c>
      <c r="K55" s="198">
        <v>0</v>
      </c>
      <c r="L55" s="170"/>
      <c r="M55" s="33">
        <f t="shared" si="85"/>
        <v>0</v>
      </c>
      <c r="N55" s="120" t="s">
        <v>225</v>
      </c>
      <c r="O55" s="34">
        <v>0</v>
      </c>
      <c r="P55" s="34">
        <v>0</v>
      </c>
      <c r="Q55" s="34"/>
      <c r="R55" s="34"/>
      <c r="S55" s="34">
        <f t="shared" si="86"/>
        <v>0</v>
      </c>
      <c r="T55" s="121">
        <f>F55-O55-P55-S55</f>
        <v>170000</v>
      </c>
      <c r="U55" s="35">
        <f t="shared" si="80"/>
        <v>1</v>
      </c>
      <c r="V55" s="40">
        <v>0</v>
      </c>
      <c r="W55" s="32"/>
      <c r="X55" s="124"/>
      <c r="Y55" s="36"/>
      <c r="Z55" s="40">
        <f t="shared" si="62"/>
        <v>0</v>
      </c>
      <c r="AA55" s="32"/>
      <c r="AB55" s="124"/>
      <c r="AC55" s="36"/>
      <c r="AD55" s="40">
        <f t="shared" si="54"/>
        <v>0</v>
      </c>
      <c r="AE55" s="32"/>
      <c r="AF55" s="124"/>
      <c r="AG55" s="36"/>
      <c r="AH55" s="40">
        <f t="shared" si="63"/>
        <v>0</v>
      </c>
      <c r="AI55" s="32"/>
      <c r="AJ55" s="124"/>
      <c r="AK55" s="36"/>
      <c r="AL55" s="40">
        <f t="shared" si="88"/>
        <v>1</v>
      </c>
      <c r="AM55" s="32">
        <v>170000</v>
      </c>
      <c r="AN55" s="124"/>
      <c r="AO55" s="228"/>
      <c r="AP55" s="40">
        <f t="shared" si="89"/>
        <v>0</v>
      </c>
      <c r="AQ55" s="32"/>
      <c r="AR55" s="124"/>
      <c r="AS55" s="122"/>
      <c r="AT55" s="40">
        <f t="shared" si="90"/>
        <v>0</v>
      </c>
      <c r="AU55" s="32"/>
      <c r="AV55" s="124"/>
      <c r="AW55" s="36"/>
      <c r="AX55" s="40">
        <f t="shared" si="91"/>
        <v>0</v>
      </c>
      <c r="AY55" s="32"/>
      <c r="AZ55" s="124"/>
      <c r="BA55" s="36"/>
      <c r="BB55" s="40">
        <f t="shared" si="92"/>
        <v>0</v>
      </c>
      <c r="BC55" s="32"/>
      <c r="BD55" s="124"/>
      <c r="BE55" s="36"/>
      <c r="BF55" s="40">
        <f t="shared" si="93"/>
        <v>0</v>
      </c>
      <c r="BG55" s="32"/>
      <c r="BH55" s="124"/>
      <c r="BI55" s="36"/>
      <c r="BJ55" s="40">
        <f t="shared" si="70"/>
        <v>0</v>
      </c>
      <c r="BK55" s="32"/>
      <c r="BL55" s="124"/>
      <c r="BM55" s="36"/>
      <c r="BN55" s="40">
        <f t="shared" si="94"/>
        <v>0</v>
      </c>
      <c r="BO55" s="32"/>
      <c r="BP55" s="124"/>
      <c r="BQ55" s="36"/>
      <c r="BR55" s="37">
        <f t="shared" si="82"/>
        <v>1</v>
      </c>
      <c r="BS55" s="38">
        <f t="shared" si="73"/>
        <v>0</v>
      </c>
      <c r="BT55" s="38">
        <f t="shared" si="97"/>
        <v>170000</v>
      </c>
      <c r="BU55" s="38">
        <f t="shared" si="48"/>
        <v>0</v>
      </c>
      <c r="BV55" s="39">
        <f t="shared" si="74"/>
        <v>170000</v>
      </c>
      <c r="BW55" s="37">
        <f t="shared" si="95"/>
        <v>0</v>
      </c>
      <c r="BX55" s="39">
        <f t="shared" si="96"/>
        <v>0</v>
      </c>
      <c r="BY55" s="223">
        <f t="shared" si="77"/>
        <v>0</v>
      </c>
      <c r="BZ55" s="39">
        <f t="shared" si="78"/>
        <v>0</v>
      </c>
    </row>
    <row r="56" spans="1:78" ht="12.75" customHeight="1" thickBot="1">
      <c r="A56" s="31" t="s">
        <v>226</v>
      </c>
      <c r="B56" s="157"/>
      <c r="C56" s="120" t="s">
        <v>107</v>
      </c>
      <c r="D56" s="44" t="s">
        <v>227</v>
      </c>
      <c r="E56" s="44" t="s">
        <v>109</v>
      </c>
      <c r="F56" s="121">
        <v>800000</v>
      </c>
      <c r="G56" s="125">
        <v>46054</v>
      </c>
      <c r="H56" s="196">
        <f t="shared" si="79"/>
        <v>800000</v>
      </c>
      <c r="I56" s="195">
        <f t="shared" si="84"/>
        <v>0</v>
      </c>
      <c r="J56" s="197">
        <v>0</v>
      </c>
      <c r="K56" s="198">
        <v>0</v>
      </c>
      <c r="L56" s="170"/>
      <c r="M56" s="33">
        <f t="shared" si="85"/>
        <v>0</v>
      </c>
      <c r="N56" s="120" t="s">
        <v>225</v>
      </c>
      <c r="O56" s="34">
        <v>0</v>
      </c>
      <c r="P56" s="34">
        <v>0</v>
      </c>
      <c r="Q56" s="34"/>
      <c r="R56" s="34"/>
      <c r="S56" s="34">
        <f t="shared" si="86"/>
        <v>0</v>
      </c>
      <c r="T56" s="121">
        <f t="shared" si="87"/>
        <v>800000</v>
      </c>
      <c r="U56" s="35">
        <f t="shared" si="80"/>
        <v>1</v>
      </c>
      <c r="V56" s="40">
        <v>0</v>
      </c>
      <c r="W56" s="32"/>
      <c r="X56" s="124"/>
      <c r="Y56" s="36"/>
      <c r="Z56" s="40">
        <f xml:space="preserve"> IF(F56=0,"",(AA56/F56))</f>
        <v>0</v>
      </c>
      <c r="AA56" s="32"/>
      <c r="AB56" s="124"/>
      <c r="AC56" s="36"/>
      <c r="AD56" s="40">
        <f xml:space="preserve"> IF(F56=0,"",(AE56/F56))</f>
        <v>0</v>
      </c>
      <c r="AE56" s="32"/>
      <c r="AF56" s="124"/>
      <c r="AG56" s="36"/>
      <c r="AH56" s="40">
        <f t="shared" si="63"/>
        <v>0</v>
      </c>
      <c r="AI56" s="32"/>
      <c r="AJ56" s="124"/>
      <c r="AK56" s="36"/>
      <c r="AL56" s="40">
        <f t="shared" si="88"/>
        <v>0</v>
      </c>
      <c r="AM56" s="32"/>
      <c r="AN56" s="124"/>
      <c r="AO56" s="228"/>
      <c r="AP56" s="40">
        <f t="shared" si="89"/>
        <v>0</v>
      </c>
      <c r="AQ56" s="32"/>
      <c r="AR56" s="124"/>
      <c r="AS56" s="122"/>
      <c r="AT56" s="40">
        <f t="shared" si="90"/>
        <v>0.3125</v>
      </c>
      <c r="AU56" s="32">
        <v>250000</v>
      </c>
      <c r="AV56" s="124"/>
      <c r="AW56" s="36"/>
      <c r="AX56" s="40">
        <f t="shared" si="91"/>
        <v>0.3125</v>
      </c>
      <c r="AY56" s="32">
        <v>250000</v>
      </c>
      <c r="AZ56" s="124"/>
      <c r="BA56" s="36"/>
      <c r="BB56" s="40">
        <f t="shared" si="92"/>
        <v>0</v>
      </c>
      <c r="BC56" s="32"/>
      <c r="BD56" s="124"/>
      <c r="BE56" s="36"/>
      <c r="BF56" s="40">
        <f t="shared" si="93"/>
        <v>0</v>
      </c>
      <c r="BG56" s="32"/>
      <c r="BH56" s="124"/>
      <c r="BI56" s="36"/>
      <c r="BJ56" s="40">
        <f t="shared" si="70"/>
        <v>0</v>
      </c>
      <c r="BK56" s="32"/>
      <c r="BL56" s="124"/>
      <c r="BM56" s="36"/>
      <c r="BN56" s="40">
        <f t="shared" si="94"/>
        <v>0</v>
      </c>
      <c r="BO56" s="32"/>
      <c r="BP56" s="124"/>
      <c r="BQ56" s="36"/>
      <c r="BR56" s="37">
        <f t="shared" si="82"/>
        <v>1</v>
      </c>
      <c r="BS56" s="38">
        <f t="shared" si="73"/>
        <v>300000</v>
      </c>
      <c r="BT56" s="38">
        <f>W56+AA56+AE56+AI56+AM56+AQ56+AU56+AY56+BC56+BG56+BK56+BO56</f>
        <v>500000</v>
      </c>
      <c r="BU56" s="38">
        <f t="shared" si="48"/>
        <v>0</v>
      </c>
      <c r="BV56" s="39">
        <f t="shared" si="74"/>
        <v>500000</v>
      </c>
      <c r="BW56" s="37">
        <v>0</v>
      </c>
      <c r="BX56" s="39">
        <f t="shared" si="96"/>
        <v>0</v>
      </c>
      <c r="BY56" s="223">
        <f t="shared" si="77"/>
        <v>0</v>
      </c>
      <c r="BZ56" s="39">
        <f t="shared" si="78"/>
        <v>0</v>
      </c>
    </row>
    <row r="57" spans="1:78" ht="12.75" customHeight="1">
      <c r="A57" s="31" t="s">
        <v>228</v>
      </c>
      <c r="B57" s="157" t="s">
        <v>229</v>
      </c>
      <c r="C57" s="120" t="s">
        <v>107</v>
      </c>
      <c r="D57" s="44" t="s">
        <v>227</v>
      </c>
      <c r="E57" s="44" t="s">
        <v>109</v>
      </c>
      <c r="F57" s="121">
        <v>27000</v>
      </c>
      <c r="G57" s="125">
        <v>46043</v>
      </c>
      <c r="H57" s="196">
        <f t="shared" si="79"/>
        <v>0</v>
      </c>
      <c r="I57" s="195">
        <f>K57+X57+AB57+AF57+AJ57+AN57+AR57+AV57+AZ57+BD57+BH57+BL57+BP57</f>
        <v>0</v>
      </c>
      <c r="J57" s="199">
        <v>0</v>
      </c>
      <c r="K57" s="198">
        <v>0</v>
      </c>
      <c r="L57" s="170"/>
      <c r="M57" s="33">
        <f t="shared" si="85"/>
        <v>0</v>
      </c>
      <c r="N57" s="120" t="s">
        <v>128</v>
      </c>
      <c r="O57" s="34">
        <v>0</v>
      </c>
      <c r="P57" s="34">
        <v>0</v>
      </c>
      <c r="Q57" s="34"/>
      <c r="R57" s="34"/>
      <c r="S57" s="34">
        <f t="shared" si="86"/>
        <v>0</v>
      </c>
      <c r="T57" s="121">
        <f t="shared" si="87"/>
        <v>27000</v>
      </c>
      <c r="U57" s="35">
        <f t="shared" si="80"/>
        <v>1</v>
      </c>
      <c r="V57" s="40">
        <v>0</v>
      </c>
      <c r="W57" s="32">
        <v>27000</v>
      </c>
      <c r="X57" s="124"/>
      <c r="Y57" s="36">
        <v>27000</v>
      </c>
      <c r="Z57" s="40">
        <f t="shared" si="62"/>
        <v>0</v>
      </c>
      <c r="AA57" s="32"/>
      <c r="AB57" s="124"/>
      <c r="AC57" s="36"/>
      <c r="AD57" s="40">
        <f t="shared" si="54"/>
        <v>0</v>
      </c>
      <c r="AE57" s="32"/>
      <c r="AF57" s="124"/>
      <c r="AG57" s="36"/>
      <c r="AH57" s="40">
        <f t="shared" si="63"/>
        <v>0</v>
      </c>
      <c r="AI57" s="32"/>
      <c r="AJ57" s="124"/>
      <c r="AK57" s="36"/>
      <c r="AL57" s="40">
        <f t="shared" si="88"/>
        <v>0</v>
      </c>
      <c r="AM57" s="32"/>
      <c r="AN57" s="124"/>
      <c r="AO57" s="228"/>
      <c r="AP57" s="40">
        <f t="shared" si="89"/>
        <v>0</v>
      </c>
      <c r="AQ57" s="32"/>
      <c r="AR57" s="124"/>
      <c r="AS57" s="122"/>
      <c r="AT57" s="40">
        <f t="shared" si="90"/>
        <v>0</v>
      </c>
      <c r="AU57" s="32"/>
      <c r="AV57" s="124"/>
      <c r="AW57" s="36"/>
      <c r="AX57" s="40">
        <f t="shared" si="91"/>
        <v>0</v>
      </c>
      <c r="AY57" s="32"/>
      <c r="AZ57" s="124"/>
      <c r="BA57" s="36"/>
      <c r="BB57" s="40">
        <f t="shared" si="92"/>
        <v>0</v>
      </c>
      <c r="BC57" s="32"/>
      <c r="BD57" s="124"/>
      <c r="BE57" s="36"/>
      <c r="BF57" s="40">
        <f t="shared" si="93"/>
        <v>0</v>
      </c>
      <c r="BG57" s="32"/>
      <c r="BH57" s="124"/>
      <c r="BI57" s="36"/>
      <c r="BJ57" s="40">
        <f t="shared" si="70"/>
        <v>0</v>
      </c>
      <c r="BK57" s="32"/>
      <c r="BL57" s="124"/>
      <c r="BM57" s="36"/>
      <c r="BN57" s="40">
        <f xml:space="preserve"> IF(F57=0,"",(BO57/F57))</f>
        <v>0</v>
      </c>
      <c r="BO57" s="32"/>
      <c r="BP57" s="124"/>
      <c r="BQ57" s="36"/>
      <c r="BR57" s="37">
        <f t="shared" si="82"/>
        <v>0</v>
      </c>
      <c r="BS57" s="38">
        <f t="shared" si="73"/>
        <v>0</v>
      </c>
      <c r="BT57" s="38">
        <f>W57+AA57+AE57+AI57+AM57+AQ57+AU57+AY57+BC57+BG57+BK57+BO57</f>
        <v>27000</v>
      </c>
      <c r="BU57" s="38">
        <f t="shared" si="48"/>
        <v>27000</v>
      </c>
      <c r="BV57" s="39">
        <f t="shared" si="74"/>
        <v>0</v>
      </c>
      <c r="BW57" s="37">
        <f t="shared" ref="BW57" si="98">IF(BT57=0,"",(BU57) / BT57)</f>
        <v>1</v>
      </c>
      <c r="BX57" s="39">
        <f t="shared" si="96"/>
        <v>27000</v>
      </c>
      <c r="BY57" s="223">
        <f t="shared" si="77"/>
        <v>27000</v>
      </c>
      <c r="BZ57" s="39">
        <f t="shared" si="78"/>
        <v>0</v>
      </c>
    </row>
    <row r="58" spans="1:78" ht="12.75" customHeight="1">
      <c r="A58" s="31" t="s">
        <v>230</v>
      </c>
      <c r="B58" s="157" t="s">
        <v>231</v>
      </c>
      <c r="C58" s="120" t="s">
        <v>107</v>
      </c>
      <c r="D58" s="457" t="s">
        <v>121</v>
      </c>
      <c r="E58" s="44" t="s">
        <v>109</v>
      </c>
      <c r="F58" s="121">
        <v>82600</v>
      </c>
      <c r="G58" s="125">
        <v>46054</v>
      </c>
      <c r="H58" s="196">
        <v>82600</v>
      </c>
      <c r="I58" s="195">
        <v>0</v>
      </c>
      <c r="J58" s="199">
        <v>0</v>
      </c>
      <c r="K58" s="198">
        <v>0</v>
      </c>
      <c r="L58" s="170"/>
      <c r="M58" s="33">
        <v>0</v>
      </c>
      <c r="N58" s="120" t="s">
        <v>151</v>
      </c>
      <c r="O58" s="34">
        <v>0</v>
      </c>
      <c r="P58" s="34">
        <v>0</v>
      </c>
      <c r="Q58" s="34"/>
      <c r="R58" s="34"/>
      <c r="S58" s="34">
        <v>0</v>
      </c>
      <c r="T58" s="464">
        <v>82600</v>
      </c>
      <c r="U58" s="35">
        <v>1</v>
      </c>
      <c r="V58" s="40">
        <v>0</v>
      </c>
      <c r="W58" s="32"/>
      <c r="X58" s="124"/>
      <c r="Y58" s="36"/>
      <c r="Z58" s="40"/>
      <c r="AA58" s="32">
        <v>57820</v>
      </c>
      <c r="AB58" s="124"/>
      <c r="AC58" s="36">
        <v>57820</v>
      </c>
      <c r="AD58" s="40"/>
      <c r="AE58" s="32">
        <v>24789</v>
      </c>
      <c r="AF58" s="124"/>
      <c r="AG58" s="36"/>
      <c r="AH58" s="40"/>
      <c r="AI58" s="32"/>
      <c r="AJ58" s="124"/>
      <c r="AK58" s="36"/>
      <c r="AL58" s="40"/>
      <c r="AM58" s="32"/>
      <c r="AN58" s="124"/>
      <c r="AO58" s="228"/>
      <c r="AP58" s="40"/>
      <c r="AQ58" s="32">
        <v>24780</v>
      </c>
      <c r="AR58" s="124"/>
      <c r="AS58" s="122"/>
      <c r="AT58" s="40"/>
      <c r="AU58" s="32"/>
      <c r="AV58" s="124"/>
      <c r="AW58" s="36"/>
      <c r="AX58" s="40"/>
      <c r="AY58" s="32"/>
      <c r="AZ58" s="124"/>
      <c r="BA58" s="36"/>
      <c r="BB58" s="40"/>
      <c r="BC58" s="32"/>
      <c r="BD58" s="124"/>
      <c r="BE58" s="36"/>
      <c r="BF58" s="40"/>
      <c r="BG58" s="32"/>
      <c r="BH58" s="124"/>
      <c r="BI58" s="36"/>
      <c r="BJ58" s="40"/>
      <c r="BK58" s="32"/>
      <c r="BL58" s="124"/>
      <c r="BM58" s="36"/>
      <c r="BN58" s="40"/>
      <c r="BO58" s="32"/>
      <c r="BP58" s="124"/>
      <c r="BQ58" s="36"/>
      <c r="BR58" s="37"/>
      <c r="BS58" s="38"/>
      <c r="BT58" s="38"/>
      <c r="BU58" s="38"/>
      <c r="BV58" s="39"/>
      <c r="BW58" s="37"/>
      <c r="BX58" s="39"/>
      <c r="BY58" s="223"/>
      <c r="BZ58" s="39"/>
    </row>
    <row r="59" spans="1:78" ht="12.75" customHeight="1">
      <c r="A59" s="156" t="s">
        <v>232</v>
      </c>
      <c r="B59" s="157" t="s">
        <v>233</v>
      </c>
      <c r="C59" s="120" t="s">
        <v>107</v>
      </c>
      <c r="D59" s="457" t="s">
        <v>121</v>
      </c>
      <c r="E59" s="44" t="s">
        <v>109</v>
      </c>
      <c r="F59" s="121">
        <v>35900</v>
      </c>
      <c r="G59" s="125">
        <v>46057</v>
      </c>
      <c r="H59" s="196">
        <v>0</v>
      </c>
      <c r="I59" s="195">
        <v>0</v>
      </c>
      <c r="J59" s="199">
        <v>0</v>
      </c>
      <c r="K59" s="198">
        <v>0</v>
      </c>
      <c r="L59" s="170"/>
      <c r="M59" s="33">
        <v>0</v>
      </c>
      <c r="N59" s="120" t="s">
        <v>128</v>
      </c>
      <c r="O59" s="34">
        <v>0</v>
      </c>
      <c r="P59" s="34">
        <v>0</v>
      </c>
      <c r="Q59" s="34"/>
      <c r="R59" s="34"/>
      <c r="S59" s="455">
        <v>0</v>
      </c>
      <c r="T59" s="465">
        <v>33000</v>
      </c>
      <c r="U59" s="456">
        <v>1</v>
      </c>
      <c r="V59" s="40">
        <v>0</v>
      </c>
      <c r="W59" s="32"/>
      <c r="X59" s="124"/>
      <c r="Y59" s="36"/>
      <c r="Z59" s="40"/>
      <c r="AA59" s="32">
        <f>33000+2900</f>
        <v>35900</v>
      </c>
      <c r="AB59" s="124"/>
      <c r="AC59" s="36">
        <v>35900</v>
      </c>
      <c r="AD59" s="40">
        <v>1</v>
      </c>
      <c r="AE59" s="32"/>
      <c r="AF59" s="124"/>
      <c r="AG59" s="36"/>
      <c r="AH59" s="40"/>
      <c r="AI59" s="32"/>
      <c r="AJ59" s="124"/>
      <c r="AK59" s="36"/>
      <c r="AL59" s="40"/>
      <c r="AM59" s="32"/>
      <c r="AN59" s="124"/>
      <c r="AO59" s="228"/>
      <c r="AP59" s="40"/>
      <c r="AQ59" s="32"/>
      <c r="AR59" s="124"/>
      <c r="AS59" s="122"/>
      <c r="AT59" s="40"/>
      <c r="AU59" s="32"/>
      <c r="AV59" s="124"/>
      <c r="AW59" s="36"/>
      <c r="AX59" s="40"/>
      <c r="AY59" s="32"/>
      <c r="AZ59" s="124"/>
      <c r="BA59" s="36"/>
      <c r="BB59" s="40"/>
      <c r="BC59" s="32"/>
      <c r="BD59" s="124"/>
      <c r="BE59" s="36"/>
      <c r="BF59" s="40"/>
      <c r="BG59" s="32"/>
      <c r="BH59" s="124"/>
      <c r="BI59" s="36"/>
      <c r="BJ59" s="40"/>
      <c r="BK59" s="32"/>
      <c r="BL59" s="124"/>
      <c r="BM59" s="36"/>
      <c r="BN59" s="40"/>
      <c r="BO59" s="32"/>
      <c r="BP59" s="124"/>
      <c r="BQ59" s="36"/>
      <c r="BR59" s="37">
        <v>0</v>
      </c>
      <c r="BS59" s="38">
        <v>0</v>
      </c>
      <c r="BT59" s="38">
        <v>0</v>
      </c>
      <c r="BU59" s="38">
        <v>0</v>
      </c>
      <c r="BV59" s="39">
        <v>0</v>
      </c>
      <c r="BW59" s="37">
        <v>1</v>
      </c>
      <c r="BX59" s="39">
        <v>33000</v>
      </c>
      <c r="BY59" s="223">
        <v>33000</v>
      </c>
      <c r="BZ59" s="39">
        <v>0</v>
      </c>
    </row>
    <row r="60" spans="1:78" ht="12.75" customHeight="1">
      <c r="A60" s="156" t="s">
        <v>234</v>
      </c>
      <c r="B60" s="157" t="s">
        <v>235</v>
      </c>
      <c r="C60" s="120" t="s">
        <v>147</v>
      </c>
      <c r="D60" s="457" t="s">
        <v>139</v>
      </c>
      <c r="E60" s="44" t="s">
        <v>103</v>
      </c>
      <c r="F60" s="121">
        <v>73000</v>
      </c>
      <c r="G60" s="125">
        <v>46070</v>
      </c>
      <c r="H60" s="196"/>
      <c r="I60" s="195"/>
      <c r="J60" s="199"/>
      <c r="K60" s="198"/>
      <c r="L60" s="170"/>
      <c r="M60" s="33"/>
      <c r="N60" s="120" t="s">
        <v>151</v>
      </c>
      <c r="O60" s="34"/>
      <c r="P60" s="34"/>
      <c r="Q60" s="34"/>
      <c r="R60" s="34"/>
      <c r="S60" s="455"/>
      <c r="T60" s="465"/>
      <c r="U60" s="462"/>
      <c r="V60" s="40"/>
      <c r="W60" s="32"/>
      <c r="X60" s="124"/>
      <c r="Y60" s="36"/>
      <c r="Z60" s="40"/>
      <c r="AA60" s="32"/>
      <c r="AB60" s="124"/>
      <c r="AC60" s="36"/>
      <c r="AD60" s="40"/>
      <c r="AE60" s="32"/>
      <c r="AF60" s="124"/>
      <c r="AG60" s="36"/>
      <c r="AH60" s="40"/>
      <c r="AI60" s="32"/>
      <c r="AJ60" s="124"/>
      <c r="AK60" s="36"/>
      <c r="AL60" s="40"/>
      <c r="AM60" s="32"/>
      <c r="AN60" s="124"/>
      <c r="AO60" s="228"/>
      <c r="AP60" s="40"/>
      <c r="AQ60" s="32">
        <v>73000</v>
      </c>
      <c r="AR60" s="124"/>
      <c r="AS60" s="122"/>
      <c r="AT60" s="40"/>
      <c r="AU60" s="32"/>
      <c r="AV60" s="124"/>
      <c r="AW60" s="36"/>
      <c r="AX60" s="40"/>
      <c r="AY60" s="32"/>
      <c r="AZ60" s="124"/>
      <c r="BA60" s="36"/>
      <c r="BB60" s="40"/>
      <c r="BC60" s="32"/>
      <c r="BD60" s="124"/>
      <c r="BE60" s="36"/>
      <c r="BF60" s="40"/>
      <c r="BG60" s="32"/>
      <c r="BH60" s="124"/>
      <c r="BI60" s="36"/>
      <c r="BJ60" s="40"/>
      <c r="BK60" s="32"/>
      <c r="BL60" s="124"/>
      <c r="BM60" s="36"/>
      <c r="BN60" s="40"/>
      <c r="BO60" s="32"/>
      <c r="BP60" s="124"/>
      <c r="BQ60" s="36"/>
      <c r="BR60" s="37"/>
      <c r="BS60" s="38"/>
      <c r="BT60" s="38"/>
      <c r="BU60" s="38"/>
      <c r="BV60" s="39"/>
      <c r="BW60" s="37"/>
      <c r="BX60" s="39"/>
      <c r="BY60" s="223"/>
      <c r="BZ60" s="39"/>
    </row>
    <row r="61" spans="1:78" ht="12.75" customHeight="1">
      <c r="A61" s="156" t="s">
        <v>236</v>
      </c>
      <c r="B61" s="157" t="s">
        <v>237</v>
      </c>
      <c r="C61" s="120" t="s">
        <v>185</v>
      </c>
      <c r="D61" s="457" t="s">
        <v>139</v>
      </c>
      <c r="E61" s="44" t="s">
        <v>109</v>
      </c>
      <c r="F61" s="121">
        <v>44500</v>
      </c>
      <c r="G61" s="125">
        <v>46083</v>
      </c>
      <c r="H61" s="196"/>
      <c r="I61" s="195"/>
      <c r="J61" s="199"/>
      <c r="K61" s="198"/>
      <c r="L61" s="170"/>
      <c r="M61" s="33"/>
      <c r="N61" s="120" t="s">
        <v>128</v>
      </c>
      <c r="O61" s="34"/>
      <c r="P61" s="34"/>
      <c r="Q61" s="34"/>
      <c r="R61" s="34"/>
      <c r="S61" s="455"/>
      <c r="T61" s="465"/>
      <c r="U61" s="462"/>
      <c r="V61" s="40"/>
      <c r="W61" s="32"/>
      <c r="X61" s="124"/>
      <c r="Y61" s="36"/>
      <c r="Z61" s="40"/>
      <c r="AA61" s="32"/>
      <c r="AB61" s="124"/>
      <c r="AC61" s="36"/>
      <c r="AD61" s="40"/>
      <c r="AE61" s="32">
        <v>44500</v>
      </c>
      <c r="AF61" s="124"/>
      <c r="AG61" s="36">
        <v>44500</v>
      </c>
      <c r="AH61" s="40"/>
      <c r="AI61" s="32"/>
      <c r="AJ61" s="124"/>
      <c r="AK61" s="36"/>
      <c r="AL61" s="40"/>
      <c r="AM61" s="32"/>
      <c r="AN61" s="124"/>
      <c r="AO61" s="228"/>
      <c r="AP61" s="40"/>
      <c r="AQ61" s="32"/>
      <c r="AR61" s="124"/>
      <c r="AS61" s="122"/>
      <c r="AT61" s="40"/>
      <c r="AU61" s="32"/>
      <c r="AV61" s="124"/>
      <c r="AW61" s="36"/>
      <c r="AX61" s="40"/>
      <c r="AY61" s="32"/>
      <c r="AZ61" s="124"/>
      <c r="BA61" s="36"/>
      <c r="BB61" s="40"/>
      <c r="BC61" s="32"/>
      <c r="BD61" s="124"/>
      <c r="BE61" s="36"/>
      <c r="BF61" s="40"/>
      <c r="BG61" s="32"/>
      <c r="BH61" s="124"/>
      <c r="BI61" s="36"/>
      <c r="BJ61" s="40"/>
      <c r="BK61" s="32"/>
      <c r="BL61" s="124"/>
      <c r="BM61" s="36"/>
      <c r="BN61" s="40"/>
      <c r="BO61" s="32"/>
      <c r="BP61" s="124"/>
      <c r="BQ61" s="36"/>
      <c r="BR61" s="37"/>
      <c r="BS61" s="38"/>
      <c r="BT61" s="38"/>
      <c r="BU61" s="38"/>
      <c r="BV61" s="39"/>
      <c r="BW61" s="37"/>
      <c r="BX61" s="39"/>
      <c r="BY61" s="223"/>
      <c r="BZ61" s="39"/>
    </row>
    <row r="62" spans="1:78" ht="12.75" customHeight="1">
      <c r="A62" s="156" t="s">
        <v>238</v>
      </c>
      <c r="B62" s="157" t="s">
        <v>239</v>
      </c>
      <c r="C62" s="120" t="s">
        <v>144</v>
      </c>
      <c r="D62" s="457" t="s">
        <v>139</v>
      </c>
      <c r="E62" s="44" t="s">
        <v>136</v>
      </c>
      <c r="F62" s="121">
        <v>25000</v>
      </c>
      <c r="G62" s="125">
        <v>46091</v>
      </c>
      <c r="H62" s="196"/>
      <c r="I62" s="195"/>
      <c r="J62" s="199"/>
      <c r="K62" s="198"/>
      <c r="L62" s="170"/>
      <c r="M62" s="33"/>
      <c r="N62" s="120" t="s">
        <v>151</v>
      </c>
      <c r="O62" s="34"/>
      <c r="P62" s="34"/>
      <c r="Q62" s="34"/>
      <c r="R62" s="34"/>
      <c r="S62" s="455"/>
      <c r="T62" s="465"/>
      <c r="U62" s="462"/>
      <c r="V62" s="40"/>
      <c r="W62" s="32"/>
      <c r="X62" s="124"/>
      <c r="Y62" s="36"/>
      <c r="Z62" s="40"/>
      <c r="AA62" s="32"/>
      <c r="AB62" s="124"/>
      <c r="AC62" s="36"/>
      <c r="AD62" s="40"/>
      <c r="AE62" s="32"/>
      <c r="AF62" s="124"/>
      <c r="AG62" s="36"/>
      <c r="AH62" s="40"/>
      <c r="AI62" s="32"/>
      <c r="AJ62" s="124"/>
      <c r="AK62" s="36"/>
      <c r="AL62" s="40"/>
      <c r="AM62" s="32"/>
      <c r="AN62" s="124"/>
      <c r="AO62" s="228"/>
      <c r="AP62" s="40"/>
      <c r="AQ62" s="32"/>
      <c r="AR62" s="124"/>
      <c r="AS62" s="122"/>
      <c r="AT62" s="40"/>
      <c r="AU62" s="32"/>
      <c r="AV62" s="124"/>
      <c r="AW62" s="36"/>
      <c r="AX62" s="40"/>
      <c r="AY62" s="32"/>
      <c r="AZ62" s="124"/>
      <c r="BA62" s="36"/>
      <c r="BB62" s="40"/>
      <c r="BC62" s="32"/>
      <c r="BD62" s="124"/>
      <c r="BE62" s="36"/>
      <c r="BF62" s="40"/>
      <c r="BG62" s="32"/>
      <c r="BH62" s="124"/>
      <c r="BI62" s="36"/>
      <c r="BJ62" s="40"/>
      <c r="BK62" s="32"/>
      <c r="BL62" s="124"/>
      <c r="BM62" s="36"/>
      <c r="BN62" s="40"/>
      <c r="BO62" s="32"/>
      <c r="BP62" s="124"/>
      <c r="BQ62" s="36"/>
      <c r="BR62" s="37"/>
      <c r="BS62" s="38"/>
      <c r="BT62" s="38"/>
      <c r="BU62" s="38"/>
      <c r="BV62" s="39"/>
      <c r="BW62" s="37"/>
      <c r="BX62" s="39"/>
      <c r="BY62" s="223"/>
      <c r="BZ62" s="39"/>
    </row>
    <row r="63" spans="1:78" ht="12.75" customHeight="1">
      <c r="A63" s="156" t="s">
        <v>240</v>
      </c>
      <c r="B63" s="157" t="s">
        <v>241</v>
      </c>
      <c r="C63" s="120" t="s">
        <v>196</v>
      </c>
      <c r="D63" s="458" t="s">
        <v>139</v>
      </c>
      <c r="E63" s="44" t="s">
        <v>109</v>
      </c>
      <c r="F63" s="121">
        <v>8070</v>
      </c>
      <c r="G63" s="125">
        <v>46092</v>
      </c>
      <c r="H63" s="196"/>
      <c r="I63" s="195"/>
      <c r="J63" s="199"/>
      <c r="K63" s="198"/>
      <c r="L63" s="170"/>
      <c r="M63" s="33"/>
      <c r="N63" s="120" t="s">
        <v>151</v>
      </c>
      <c r="O63" s="34"/>
      <c r="P63" s="34"/>
      <c r="Q63" s="34"/>
      <c r="R63" s="34"/>
      <c r="S63" s="455"/>
      <c r="T63" s="465"/>
      <c r="U63" s="462"/>
      <c r="V63" s="40"/>
      <c r="W63" s="32"/>
      <c r="X63" s="124"/>
      <c r="Y63" s="36"/>
      <c r="Z63" s="40"/>
      <c r="AA63" s="32"/>
      <c r="AB63" s="124"/>
      <c r="AC63" s="36"/>
      <c r="AD63" s="40"/>
      <c r="AE63" s="32"/>
      <c r="AF63" s="124"/>
      <c r="AG63" s="36"/>
      <c r="AH63" s="40"/>
      <c r="AI63" s="32"/>
      <c r="AJ63" s="124"/>
      <c r="AK63" s="36"/>
      <c r="AL63" s="40"/>
      <c r="AM63" s="32"/>
      <c r="AN63" s="124"/>
      <c r="AO63" s="228"/>
      <c r="AP63" s="40"/>
      <c r="AQ63" s="32"/>
      <c r="AR63" s="124"/>
      <c r="AS63" s="122"/>
      <c r="AT63" s="40"/>
      <c r="AU63" s="32"/>
      <c r="AV63" s="124"/>
      <c r="AW63" s="36"/>
      <c r="AX63" s="40"/>
      <c r="AY63" s="32"/>
      <c r="AZ63" s="124"/>
      <c r="BA63" s="36"/>
      <c r="BB63" s="40"/>
      <c r="BC63" s="32"/>
      <c r="BD63" s="124"/>
      <c r="BE63" s="36"/>
      <c r="BF63" s="40"/>
      <c r="BG63" s="32"/>
      <c r="BH63" s="124"/>
      <c r="BI63" s="36"/>
      <c r="BJ63" s="40"/>
      <c r="BK63" s="32"/>
      <c r="BL63" s="124"/>
      <c r="BM63" s="36"/>
      <c r="BN63" s="40"/>
      <c r="BO63" s="32"/>
      <c r="BP63" s="124"/>
      <c r="BQ63" s="36"/>
      <c r="BR63" s="37"/>
      <c r="BS63" s="38"/>
      <c r="BT63" s="38"/>
      <c r="BU63" s="38"/>
      <c r="BV63" s="39"/>
      <c r="BW63" s="37"/>
      <c r="BX63" s="39"/>
      <c r="BY63" s="223"/>
      <c r="BZ63" s="39"/>
    </row>
    <row r="64" spans="1:78" ht="12.75" customHeight="1">
      <c r="A64" s="156"/>
      <c r="B64" s="157"/>
      <c r="C64" s="120"/>
      <c r="D64" s="458"/>
      <c r="E64" s="457"/>
      <c r="F64" s="121"/>
      <c r="G64" s="125"/>
      <c r="H64" s="196"/>
      <c r="I64" s="195"/>
      <c r="J64" s="199"/>
      <c r="K64" s="198"/>
      <c r="L64" s="170"/>
      <c r="M64" s="33"/>
      <c r="N64" s="120"/>
      <c r="O64" s="34"/>
      <c r="P64" s="34"/>
      <c r="Q64" s="34"/>
      <c r="R64" s="34"/>
      <c r="S64" s="455"/>
      <c r="T64" s="465"/>
      <c r="U64" s="462"/>
      <c r="V64" s="40"/>
      <c r="W64" s="32"/>
      <c r="X64" s="124"/>
      <c r="Y64" s="36"/>
      <c r="Z64" s="40"/>
      <c r="AA64" s="32"/>
      <c r="AB64" s="124"/>
      <c r="AC64" s="36"/>
      <c r="AD64" s="40"/>
      <c r="AE64" s="32"/>
      <c r="AF64" s="124"/>
      <c r="AG64" s="36"/>
      <c r="AH64" s="40"/>
      <c r="AI64" s="32"/>
      <c r="AJ64" s="124"/>
      <c r="AK64" s="36"/>
      <c r="AL64" s="40"/>
      <c r="AM64" s="32"/>
      <c r="AN64" s="124"/>
      <c r="AO64" s="228"/>
      <c r="AP64" s="40"/>
      <c r="AQ64" s="32"/>
      <c r="AR64" s="124"/>
      <c r="AS64" s="122"/>
      <c r="AT64" s="40"/>
      <c r="AU64" s="32"/>
      <c r="AV64" s="124"/>
      <c r="AW64" s="36"/>
      <c r="AX64" s="40"/>
      <c r="AY64" s="32"/>
      <c r="AZ64" s="124"/>
      <c r="BA64" s="36"/>
      <c r="BB64" s="40"/>
      <c r="BC64" s="32"/>
      <c r="BD64" s="124"/>
      <c r="BE64" s="36"/>
      <c r="BF64" s="40"/>
      <c r="BG64" s="32"/>
      <c r="BH64" s="124"/>
      <c r="BI64" s="36"/>
      <c r="BJ64" s="40"/>
      <c r="BK64" s="32"/>
      <c r="BL64" s="124"/>
      <c r="BM64" s="36"/>
      <c r="BN64" s="40"/>
      <c r="BO64" s="32"/>
      <c r="BP64" s="124"/>
      <c r="BQ64" s="36"/>
      <c r="BR64" s="37"/>
      <c r="BS64" s="38"/>
      <c r="BT64" s="38"/>
      <c r="BU64" s="38"/>
      <c r="BV64" s="39"/>
      <c r="BW64" s="37"/>
      <c r="BX64" s="39"/>
      <c r="BY64" s="223"/>
      <c r="BZ64" s="39"/>
    </row>
    <row r="65" spans="1:78" ht="12.75" customHeight="1">
      <c r="A65" s="156"/>
      <c r="B65" s="157"/>
      <c r="C65" s="120"/>
      <c r="D65" s="457"/>
      <c r="E65" s="457"/>
      <c r="F65" s="121"/>
      <c r="G65" s="125"/>
      <c r="H65" s="196"/>
      <c r="I65" s="195"/>
      <c r="J65" s="199"/>
      <c r="K65" s="198"/>
      <c r="L65" s="170"/>
      <c r="M65" s="33"/>
      <c r="N65" s="120"/>
      <c r="O65" s="34"/>
      <c r="P65" s="34"/>
      <c r="Q65" s="34"/>
      <c r="R65" s="34"/>
      <c r="S65" s="455"/>
      <c r="T65" s="465"/>
      <c r="U65" s="462"/>
      <c r="V65" s="40"/>
      <c r="W65" s="32"/>
      <c r="X65" s="124"/>
      <c r="Y65" s="36"/>
      <c r="Z65" s="40"/>
      <c r="AA65" s="32"/>
      <c r="AB65" s="124"/>
      <c r="AC65" s="36"/>
      <c r="AD65" s="40"/>
      <c r="AE65" s="32"/>
      <c r="AF65" s="124"/>
      <c r="AG65" s="36"/>
      <c r="AH65" s="40"/>
      <c r="AI65" s="32"/>
      <c r="AJ65" s="124"/>
      <c r="AK65" s="36"/>
      <c r="AL65" s="40"/>
      <c r="AM65" s="32"/>
      <c r="AN65" s="124"/>
      <c r="AO65" s="228"/>
      <c r="AP65" s="40"/>
      <c r="AQ65" s="32"/>
      <c r="AR65" s="124"/>
      <c r="AS65" s="122"/>
      <c r="AT65" s="40"/>
      <c r="AU65" s="32"/>
      <c r="AV65" s="124"/>
      <c r="AW65" s="36"/>
      <c r="AX65" s="40"/>
      <c r="AY65" s="32"/>
      <c r="AZ65" s="124"/>
      <c r="BA65" s="36"/>
      <c r="BB65" s="40"/>
      <c r="BC65" s="32"/>
      <c r="BD65" s="124"/>
      <c r="BE65" s="36"/>
      <c r="BF65" s="40"/>
      <c r="BG65" s="32"/>
      <c r="BH65" s="124"/>
      <c r="BI65" s="36"/>
      <c r="BJ65" s="40"/>
      <c r="BK65" s="32"/>
      <c r="BL65" s="124"/>
      <c r="BM65" s="36"/>
      <c r="BN65" s="40"/>
      <c r="BO65" s="32"/>
      <c r="BP65" s="124"/>
      <c r="BQ65" s="36"/>
      <c r="BR65" s="37"/>
      <c r="BS65" s="38"/>
      <c r="BT65" s="38"/>
      <c r="BU65" s="38"/>
      <c r="BV65" s="39"/>
      <c r="BW65" s="37"/>
      <c r="BX65" s="39"/>
      <c r="BY65" s="223"/>
      <c r="BZ65" s="39"/>
    </row>
    <row r="66" spans="1:78" ht="14.45" thickBot="1">
      <c r="A66" s="19"/>
      <c r="B66" s="19"/>
      <c r="C66" s="19"/>
      <c r="D66" s="454"/>
      <c r="E66" s="454"/>
      <c r="F66" s="11"/>
      <c r="G66" s="11"/>
      <c r="H66" s="11"/>
      <c r="I66" s="11"/>
      <c r="J66" s="45"/>
      <c r="K66" s="45"/>
      <c r="L66" s="45"/>
      <c r="M66" s="46"/>
      <c r="N66" s="46"/>
      <c r="O66" s="46"/>
      <c r="P66" s="46"/>
      <c r="Q66" s="46"/>
      <c r="R66" s="46"/>
      <c r="S66" s="46"/>
      <c r="T66" s="46"/>
      <c r="U66" s="46"/>
      <c r="V66" s="12"/>
      <c r="Y66" s="47"/>
      <c r="AA66" s="14"/>
      <c r="AB66" s="14"/>
      <c r="AC66" s="47"/>
      <c r="AD66" s="14"/>
      <c r="AE66" s="14"/>
      <c r="AF66" s="14"/>
      <c r="AG66" s="47"/>
      <c r="AH66" s="14"/>
      <c r="AI66" s="14"/>
      <c r="AJ66" s="14"/>
      <c r="AK66" s="47"/>
      <c r="AL66" s="14"/>
      <c r="AM66" s="14"/>
      <c r="AN66" s="14"/>
      <c r="AO66" s="47"/>
      <c r="AP66" s="14"/>
      <c r="AQ66" s="14"/>
      <c r="AR66" s="14"/>
      <c r="AS66" s="47"/>
      <c r="AT66" s="14"/>
      <c r="AU66" s="14"/>
      <c r="AV66" s="14"/>
      <c r="AW66" s="47"/>
      <c r="AX66" s="14"/>
      <c r="AY66" s="14"/>
      <c r="AZ66" s="14"/>
      <c r="BA66" s="47"/>
      <c r="BB66" s="14"/>
      <c r="BC66" s="14"/>
      <c r="BD66" s="14"/>
      <c r="BE66" s="47"/>
      <c r="BI66" s="47"/>
      <c r="BM66" s="47"/>
      <c r="BQ66" s="47"/>
    </row>
    <row r="67" spans="1:78" ht="13.5" customHeight="1" thickBot="1">
      <c r="A67" s="48"/>
      <c r="B67" s="19"/>
      <c r="C67" s="19"/>
      <c r="D67" s="19"/>
      <c r="E67" s="31" t="s">
        <v>35</v>
      </c>
      <c r="F67" s="16">
        <f>SUM(F7:F65)</f>
        <v>22844150.599999998</v>
      </c>
      <c r="G67" s="16"/>
      <c r="H67" s="16">
        <f>SUM(H7:H65)</f>
        <v>10517781.969999999</v>
      </c>
      <c r="I67" s="16">
        <f>SUM(I7:I65)</f>
        <v>1599425.78</v>
      </c>
      <c r="J67" s="16">
        <f>SUM(J7:J65)</f>
        <v>8367804.8500000015</v>
      </c>
      <c r="K67" s="16">
        <f>SUM(K7:K65)</f>
        <v>1564175.78</v>
      </c>
      <c r="L67" s="16"/>
      <c r="M67" s="16"/>
      <c r="N67" s="49"/>
      <c r="O67" s="49">
        <f>SUM(O7:O65)</f>
        <v>200000</v>
      </c>
      <c r="P67" s="49">
        <f>SUM(P7:P65)</f>
        <v>50000</v>
      </c>
      <c r="Q67" s="49">
        <f>SUM(Q7:Q65)</f>
        <v>1000</v>
      </c>
      <c r="R67" s="49"/>
      <c r="S67" s="49">
        <f>SUM(S7:S65)</f>
        <v>120000</v>
      </c>
      <c r="T67" s="49">
        <f>SUM(T7:T65)</f>
        <v>22412080.440000001</v>
      </c>
      <c r="U67" s="49"/>
      <c r="V67" s="50"/>
      <c r="W67" s="16">
        <f>SUM(W7:W65)</f>
        <v>867760.46</v>
      </c>
      <c r="X67" s="124">
        <f>SUM(X7:X65)</f>
        <v>486492.19</v>
      </c>
      <c r="Y67" s="51">
        <f>SUM(Y7:Y65)</f>
        <v>336167.46</v>
      </c>
      <c r="Z67" s="50"/>
      <c r="AA67" s="16">
        <f>SUM(AA7:AA65)</f>
        <v>1730346</v>
      </c>
      <c r="AB67" s="124">
        <f>SUM(AB7:AB65)</f>
        <v>-517492.19</v>
      </c>
      <c r="AC67" s="51">
        <f>SUM(AC7:AC65) -AC2-AA2</f>
        <v>1270849</v>
      </c>
      <c r="AD67" s="50"/>
      <c r="AE67" s="16">
        <f>SUM(AE7:AE65)</f>
        <v>1207521</v>
      </c>
      <c r="AF67" s="124">
        <f>SUM(AF7:AF65)</f>
        <v>66250</v>
      </c>
      <c r="AG67" s="51">
        <f>SUM(AG7:AG65)</f>
        <v>916482</v>
      </c>
      <c r="AH67" s="50"/>
      <c r="AI67" s="16">
        <f>SUM(AI7:AI65)</f>
        <v>124112</v>
      </c>
      <c r="AJ67" s="124">
        <f>SUM(AJ7:AJ65)</f>
        <v>0</v>
      </c>
      <c r="AK67" s="51">
        <f>SUM(AK7:AK65)</f>
        <v>0</v>
      </c>
      <c r="AL67" s="50"/>
      <c r="AM67" s="16">
        <f>SUM(AM7:AM65)</f>
        <v>601503</v>
      </c>
      <c r="AN67" s="124">
        <f>SUM(AN7:AN65)</f>
        <v>0</v>
      </c>
      <c r="AO67" s="51">
        <f>SUM(AO7:AO65)</f>
        <v>0</v>
      </c>
      <c r="AP67" s="50"/>
      <c r="AQ67" s="16">
        <f>SUM(AQ7:AQ65)</f>
        <v>3653150</v>
      </c>
      <c r="AR67" s="124">
        <f>SUM(AR7:AR65)</f>
        <v>0</v>
      </c>
      <c r="AS67" s="51">
        <f>SUM(AS7:AS65)</f>
        <v>0</v>
      </c>
      <c r="AT67" s="50"/>
      <c r="AU67" s="16">
        <f>SUM(AU7:AU65)</f>
        <v>444384</v>
      </c>
      <c r="AV67" s="124">
        <f>SUM(AV7:AV65)</f>
        <v>0</v>
      </c>
      <c r="AW67" s="51">
        <f>SUM(AW7:AW65)</f>
        <v>0</v>
      </c>
      <c r="AX67" s="50"/>
      <c r="AY67" s="16">
        <f>SUM(AY7:AY65)</f>
        <v>351000</v>
      </c>
      <c r="AZ67" s="124">
        <f>SUM(AZ7:AZ65)</f>
        <v>0</v>
      </c>
      <c r="BA67" s="51">
        <f>SUM(BA7:BA65)</f>
        <v>0</v>
      </c>
      <c r="BB67" s="50"/>
      <c r="BC67" s="16">
        <f>SUM(BC7:BC65)</f>
        <v>100000</v>
      </c>
      <c r="BD67" s="124">
        <f>SUM(BD7:BD65)</f>
        <v>0</v>
      </c>
      <c r="BE67" s="51">
        <f>SUM(BE7:BE65)</f>
        <v>0</v>
      </c>
      <c r="BF67" s="50"/>
      <c r="BG67" s="16">
        <f>SUM(BG7:BG65)</f>
        <v>80000</v>
      </c>
      <c r="BH67" s="124">
        <f>SUM(BH7:BH65)</f>
        <v>0</v>
      </c>
      <c r="BI67" s="51">
        <f>SUM(BI7:BI65)</f>
        <v>0</v>
      </c>
      <c r="BJ67" s="50"/>
      <c r="BK67" s="16">
        <f>SUM(BK7:BK65)</f>
        <v>0</v>
      </c>
      <c r="BL67" s="124">
        <f>SUM(BL7:BL65)</f>
        <v>0</v>
      </c>
      <c r="BM67" s="51">
        <f>SUM(BM7:BM65)</f>
        <v>0</v>
      </c>
      <c r="BN67" s="50"/>
      <c r="BO67" s="16">
        <f>SUM(BO7:BO65)</f>
        <v>95000</v>
      </c>
      <c r="BP67" s="124">
        <f>SUM(BP7:BP65)</f>
        <v>0</v>
      </c>
      <c r="BQ67" s="51">
        <f>SUM(BQ7:BQ65)</f>
        <v>0</v>
      </c>
      <c r="BR67" s="50"/>
      <c r="BS67" s="52">
        <f>SUM(BS7:BS65)</f>
        <v>3648410.35</v>
      </c>
      <c r="BT67" s="52">
        <f>SUM(BT7:BT65)</f>
        <v>8994689.4600000009</v>
      </c>
      <c r="BU67" s="52">
        <f>SUM(BU7:BU65)</f>
        <v>2420528.46</v>
      </c>
      <c r="BV67" s="52">
        <f>SUM(BV7:BV65)</f>
        <v>6574161</v>
      </c>
      <c r="BW67" s="37">
        <f t="shared" ref="BW67:BW68" si="99">BU67 / BT67</f>
        <v>0.26910639558644639</v>
      </c>
      <c r="BX67" s="52">
        <f>SUM(BX7:BX65)</f>
        <v>12364646.790000001</v>
      </c>
      <c r="BY67" s="52">
        <f>SUM(BY7:BY65)</f>
        <v>10786083.310000001</v>
      </c>
      <c r="BZ67" s="52">
        <f>SUM(BZ7:BZ65)</f>
        <v>1578563.48</v>
      </c>
    </row>
    <row r="68" spans="1:78" ht="13.5" customHeight="1" thickBot="1">
      <c r="A68" s="19"/>
      <c r="B68" s="19"/>
      <c r="C68" s="19"/>
      <c r="D68" s="19"/>
      <c r="E68" s="31" t="s">
        <v>242</v>
      </c>
      <c r="F68" s="16">
        <f>SUBTOTAL(109,F7:F65)</f>
        <v>19465175.600000001</v>
      </c>
      <c r="G68" s="16"/>
      <c r="H68" s="16">
        <f>SUBTOTAL(109,H7:H65)</f>
        <v>7267781.9700000007</v>
      </c>
      <c r="I68" s="16">
        <f>SUBTOTAL(109,I7:I65)</f>
        <v>1599425.78</v>
      </c>
      <c r="J68" s="16">
        <f>SUBTOTAL(109,J7:J65)</f>
        <v>8238829.8500000006</v>
      </c>
      <c r="K68" s="16">
        <f>SUBTOTAL(109,K7:K65)</f>
        <v>1564175.78</v>
      </c>
      <c r="L68" s="16"/>
      <c r="M68" s="16"/>
      <c r="N68" s="16"/>
      <c r="O68" s="16">
        <f>SUBTOTAL(109,O7:O65)</f>
        <v>200000</v>
      </c>
      <c r="P68" s="16">
        <f>SUBTOTAL(109,P7:P65)</f>
        <v>50000</v>
      </c>
      <c r="Q68" s="16"/>
      <c r="R68" s="16"/>
      <c r="S68" s="16"/>
      <c r="T68" s="16"/>
      <c r="U68" s="16"/>
      <c r="V68" s="16"/>
      <c r="W68" s="16">
        <f>SUBTOTAL(109,W7:W65)</f>
        <v>862762.46</v>
      </c>
      <c r="X68" s="124">
        <f>SUBTOTAL(109,X7:X65)</f>
        <v>486492.19</v>
      </c>
      <c r="Y68" s="51">
        <f>SUBTOTAL(109,Y7:Y65)</f>
        <v>336167.46</v>
      </c>
      <c r="Z68" s="16"/>
      <c r="AA68" s="16">
        <f>SUBTOTAL(109,AA7:AA65)</f>
        <v>1730346</v>
      </c>
      <c r="AB68" s="124">
        <f>SUBTOTAL(109,AB7:AB65)</f>
        <v>-517492.19</v>
      </c>
      <c r="AC68" s="51">
        <f>SUBTOTAL(109,AC7:AC65)-AC2-AA2</f>
        <v>1270849</v>
      </c>
      <c r="AD68" s="16"/>
      <c r="AE68" s="16">
        <f>SUBTOTAL(109,AE7:AE65)</f>
        <v>1207521</v>
      </c>
      <c r="AF68" s="124">
        <f>SUBTOTAL(109,AF7:AF65)</f>
        <v>66250</v>
      </c>
      <c r="AG68" s="51">
        <f>SUBTOTAL(109,AG7:AG65)</f>
        <v>916482</v>
      </c>
      <c r="AH68" s="16"/>
      <c r="AI68" s="16">
        <f>SUBTOTAL(109,AI7:AI65)</f>
        <v>124112</v>
      </c>
      <c r="AJ68" s="124">
        <f>SUBTOTAL(109,AJ7:AJ65)</f>
        <v>0</v>
      </c>
      <c r="AK68" s="51">
        <f>SUBTOTAL(109,AK7:AK65)</f>
        <v>0</v>
      </c>
      <c r="AL68" s="16"/>
      <c r="AM68" s="16">
        <f>SUBTOTAL(109,AM7:AM65)</f>
        <v>601503</v>
      </c>
      <c r="AN68" s="124">
        <f>SUBTOTAL(109,AN7:AN65)</f>
        <v>0</v>
      </c>
      <c r="AO68" s="51">
        <f>SUBTOTAL(109,AO7:AO65)</f>
        <v>0</v>
      </c>
      <c r="AP68" s="16"/>
      <c r="AQ68" s="16">
        <f>SUBTOTAL(109,AQ7:AQ65)</f>
        <v>3653150</v>
      </c>
      <c r="AR68" s="124">
        <f>SUBTOTAL(109,AR7:AR65)</f>
        <v>0</v>
      </c>
      <c r="AS68" s="51">
        <f>SUBTOTAL(109,AS7:AS65)</f>
        <v>0</v>
      </c>
      <c r="AT68" s="16"/>
      <c r="AU68" s="16">
        <f>SUBTOTAL(109,AU7:AU65)</f>
        <v>444384</v>
      </c>
      <c r="AV68" s="124">
        <f>SUBTOTAL(109,AV7:AV65)</f>
        <v>0</v>
      </c>
      <c r="AW68" s="51">
        <f>SUBTOTAL(109,AW7:AW65)</f>
        <v>0</v>
      </c>
      <c r="AX68" s="16"/>
      <c r="AY68" s="16">
        <f>SUBTOTAL(109,AY7:AY65)</f>
        <v>351000</v>
      </c>
      <c r="AZ68" s="124">
        <f>SUBTOTAL(109,AZ7:AZ65)</f>
        <v>0</v>
      </c>
      <c r="BA68" s="51">
        <f>SUBTOTAL(109,BA7:BA65)</f>
        <v>0</v>
      </c>
      <c r="BB68" s="16"/>
      <c r="BC68" s="16">
        <f>SUBTOTAL(109,BC7:BC65)</f>
        <v>100000</v>
      </c>
      <c r="BD68" s="124">
        <f>SUBTOTAL(109,BD7:BD65)</f>
        <v>0</v>
      </c>
      <c r="BE68" s="51">
        <f>SUBTOTAL(109,BE7:BE65)</f>
        <v>0</v>
      </c>
      <c r="BF68" s="16"/>
      <c r="BG68" s="16">
        <f>SUBTOTAL(109,BG7:BG65)</f>
        <v>80000</v>
      </c>
      <c r="BH68" s="124">
        <f>SUBTOTAL(109,BH7:BH65)</f>
        <v>0</v>
      </c>
      <c r="BI68" s="51">
        <f>SUBTOTAL(109,BI7:BI65)</f>
        <v>0</v>
      </c>
      <c r="BJ68" s="16"/>
      <c r="BK68" s="16">
        <f>SUBTOTAL(109,BK7:BK65)</f>
        <v>0</v>
      </c>
      <c r="BL68" s="124">
        <f>SUBTOTAL(109,BL7:BL65)</f>
        <v>0</v>
      </c>
      <c r="BM68" s="51">
        <f>SUBTOTAL(109,BM7:BM65)</f>
        <v>0</v>
      </c>
      <c r="BN68" s="16"/>
      <c r="BO68" s="16">
        <f>SUBTOTAL(109,BO7:BO65)</f>
        <v>95000</v>
      </c>
      <c r="BP68" s="124">
        <f>SUBTOTAL(109,BP7:BP65)</f>
        <v>0</v>
      </c>
      <c r="BQ68" s="51">
        <f>SUBTOTAL(109,BQ7:BQ65)</f>
        <v>0</v>
      </c>
      <c r="BR68" s="16"/>
      <c r="BS68" s="16">
        <f>SUBTOTAL(109,BS7:BS65)</f>
        <v>403408.3499999998</v>
      </c>
      <c r="BT68" s="16">
        <f>SUBTOTAL(109,BT7:BT65)</f>
        <v>8989691.4600000009</v>
      </c>
      <c r="BU68" s="16">
        <f>SUBTOTAL(109,BU7:BU65)</f>
        <v>2420528.46</v>
      </c>
      <c r="BV68" s="16">
        <f>SUBTOTAL(109,BV7:BV65)</f>
        <v>6569163</v>
      </c>
      <c r="BW68" s="37">
        <f t="shared" si="99"/>
        <v>0.26925601070628957</v>
      </c>
      <c r="BX68" s="16">
        <f>SUBTOTAL(109,BX7:BX65)</f>
        <v>12235671.790000001</v>
      </c>
      <c r="BY68" s="16">
        <f>SUBTOTAL(109,BY7:BY65)</f>
        <v>10657108.310000001</v>
      </c>
      <c r="BZ68" s="16">
        <f>SUBTOTAL(109,BZ7:BZ65)</f>
        <v>1578563.48</v>
      </c>
    </row>
    <row r="69" spans="1:78" ht="13.5" customHeight="1" thickBot="1">
      <c r="A69" s="19"/>
      <c r="B69" s="19"/>
      <c r="C69" s="19"/>
      <c r="D69" s="19"/>
      <c r="E69" s="131" t="s">
        <v>243</v>
      </c>
      <c r="F69" s="16">
        <f>Y69+AC69+AG69+AK69+AO69+AS69+AW69+BA69+BE69+BI69+BM69+BQ69</f>
        <v>361343</v>
      </c>
      <c r="G69" s="16">
        <f>'שרות - כללי'!$J$5</f>
        <v>992645.54</v>
      </c>
      <c r="H69" s="16"/>
      <c r="I69" s="16"/>
      <c r="J69" s="16"/>
      <c r="K69" s="16"/>
      <c r="L69" s="16"/>
      <c r="M69" s="16"/>
      <c r="N69" s="16"/>
      <c r="O69" s="53"/>
      <c r="P69" s="53"/>
      <c r="Q69" s="53"/>
      <c r="R69" s="53"/>
      <c r="S69" s="53"/>
      <c r="T69" s="53"/>
      <c r="U69" s="53"/>
      <c r="V69" s="166">
        <f>'שרות - כללי'!$L$155  / G69</f>
        <v>0.12830112549541098</v>
      </c>
      <c r="W69" s="167">
        <f>1000000/12</f>
        <v>83333.333333333328</v>
      </c>
      <c r="X69" s="165"/>
      <c r="Y69" s="165">
        <f>'שרות - כללי'!$M$155</f>
        <v>102860</v>
      </c>
      <c r="Z69" s="166">
        <f>'שרות - כללי'!$N$155  / G69</f>
        <v>0.20209933144916964</v>
      </c>
      <c r="AA69" s="167">
        <f>1000000/12</f>
        <v>83333.333333333328</v>
      </c>
      <c r="AB69" s="165"/>
      <c r="AC69" s="165">
        <f>'שרות - כללי'!$O$155</f>
        <v>173764</v>
      </c>
      <c r="AD69" s="166">
        <f>'שרות - כללי'!$P$155  / G69</f>
        <v>6.5198499758534145E-2</v>
      </c>
      <c r="AE69" s="167">
        <f>1000000/12</f>
        <v>83333.333333333328</v>
      </c>
      <c r="AF69" s="168"/>
      <c r="AG69" s="165">
        <f>'שרות - כללי'!$Q$155</f>
        <v>52719</v>
      </c>
      <c r="AH69" s="166">
        <f>'שרות - כללי'!$R$155  / G69</f>
        <v>0.14901593170911742</v>
      </c>
      <c r="AI69" s="167">
        <f>1000000/12</f>
        <v>83333.333333333328</v>
      </c>
      <c r="AJ69" s="168"/>
      <c r="AK69" s="165">
        <f>'שרות - כללי'!$S$155</f>
        <v>0</v>
      </c>
      <c r="AL69" s="166">
        <f>'שרות - כללי'!$T$155  / G69</f>
        <v>2.8560043698982417E-2</v>
      </c>
      <c r="AM69" s="167">
        <f>1000000/12</f>
        <v>83333.333333333328</v>
      </c>
      <c r="AN69" s="168"/>
      <c r="AO69" s="165">
        <f>'שרות - כללי'!$U$155</f>
        <v>0</v>
      </c>
      <c r="AP69" s="166">
        <f>'שרות - כללי'!$V$155  / G69</f>
        <v>1.9576978102374791E-2</v>
      </c>
      <c r="AQ69" s="167">
        <f>1000000/12</f>
        <v>83333.333333333328</v>
      </c>
      <c r="AR69" s="168"/>
      <c r="AS69" s="165">
        <f>'שרות - כללי'!$W$155</f>
        <v>0</v>
      </c>
      <c r="AT69" s="166">
        <f>'שרות - כללי'!$X$155  / G69</f>
        <v>0.16388931742946228</v>
      </c>
      <c r="AU69" s="167">
        <f>1000000/12</f>
        <v>83333.333333333328</v>
      </c>
      <c r="AV69" s="168"/>
      <c r="AW69" s="165">
        <f>'שרות - כללי'!$Y$155</f>
        <v>0</v>
      </c>
      <c r="AX69" s="166">
        <f>'שרות - כללי'!$Z$155  / G69</f>
        <v>3.6599167110547837E-2</v>
      </c>
      <c r="AY69" s="167">
        <f>1000000/12</f>
        <v>83333.333333333328</v>
      </c>
      <c r="AZ69" s="168"/>
      <c r="BA69" s="165">
        <f>'שרות - כללי'!$AA$155</f>
        <v>0</v>
      </c>
      <c r="BB69" s="166">
        <f>'שרות - כללי'!$AB$155  / G69</f>
        <v>9.1874688723227418E-2</v>
      </c>
      <c r="BC69" s="167">
        <f>1000000/12</f>
        <v>83333.333333333328</v>
      </c>
      <c r="BD69" s="168"/>
      <c r="BE69" s="165">
        <f>'שרות - כללי'!$AC$155</f>
        <v>0</v>
      </c>
      <c r="BF69" s="166">
        <f>'שרות - כללי'!$AD$155  / G69</f>
        <v>3.7767761491176395E-2</v>
      </c>
      <c r="BG69" s="167">
        <f>1000000/12</f>
        <v>83333.333333333328</v>
      </c>
      <c r="BH69" s="168"/>
      <c r="BI69" s="165">
        <f>'שרות - כללי'!$AE$155</f>
        <v>0</v>
      </c>
      <c r="BJ69" s="166">
        <f>'שרות - כללי'!$AF$155  / G69</f>
        <v>2.478226014091596E-2</v>
      </c>
      <c r="BK69" s="167">
        <f>1000000/12</f>
        <v>83333.333333333328</v>
      </c>
      <c r="BL69" s="168"/>
      <c r="BM69" s="165">
        <f>'שרות - כללי'!$AG$155</f>
        <v>0</v>
      </c>
      <c r="BN69" s="166">
        <f>'שרות - כללי'!$AH$155  / G69</f>
        <v>6.2307236075427284E-2</v>
      </c>
      <c r="BO69" s="167">
        <f>1000000/12</f>
        <v>83333.333333333328</v>
      </c>
      <c r="BP69" s="168"/>
      <c r="BQ69" s="165">
        <f>'שרות - כללי'!$AI$155</f>
        <v>32000</v>
      </c>
      <c r="BR69" s="47"/>
      <c r="BS69" s="47"/>
      <c r="BT69" s="47"/>
      <c r="BU69" s="47"/>
      <c r="BV69" s="47"/>
      <c r="BW69" s="54"/>
      <c r="BX69" s="47"/>
      <c r="BY69" s="47"/>
      <c r="BZ69" s="47"/>
    </row>
    <row r="70" spans="1:78" ht="13.5" customHeight="1">
      <c r="A70" s="19"/>
      <c r="B70" s="19"/>
      <c r="C70" s="19"/>
      <c r="D70" s="19"/>
      <c r="E70" s="19"/>
      <c r="F70" s="11"/>
      <c r="H70" s="11"/>
      <c r="I70" s="11"/>
      <c r="J70" s="45"/>
      <c r="K70" s="45"/>
      <c r="L70" s="45"/>
      <c r="M70" s="46"/>
      <c r="N70" s="46"/>
      <c r="O70" s="46"/>
      <c r="P70" s="46"/>
      <c r="Q70" s="46"/>
      <c r="R70" s="46"/>
      <c r="S70" s="46"/>
      <c r="T70" s="46"/>
      <c r="U70" s="46"/>
      <c r="V70" s="12"/>
      <c r="Y70" s="188">
        <f>Y67+Y69</f>
        <v>439027.46</v>
      </c>
      <c r="AA70" s="14"/>
      <c r="AB70" s="14"/>
      <c r="AC70" s="188">
        <f>AC67+AC69</f>
        <v>1444613</v>
      </c>
      <c r="AD70" s="14"/>
      <c r="AE70" s="14"/>
      <c r="AF70" s="14"/>
      <c r="AG70" s="188">
        <f>AG67+AG69</f>
        <v>969201</v>
      </c>
      <c r="AH70" s="14"/>
      <c r="AI70" s="14"/>
      <c r="AJ70" s="14"/>
      <c r="AK70" s="47">
        <f>AK67+AK69</f>
        <v>0</v>
      </c>
      <c r="AL70" s="14"/>
      <c r="AM70" s="14"/>
      <c r="AN70" s="14"/>
      <c r="AO70" s="47">
        <f>AO67+AO69</f>
        <v>0</v>
      </c>
      <c r="AP70" s="14"/>
      <c r="AQ70" s="14"/>
      <c r="AR70" s="14"/>
      <c r="AS70" s="47">
        <f>AS67+AS69</f>
        <v>0</v>
      </c>
      <c r="AT70" s="14"/>
      <c r="AU70" s="14"/>
      <c r="AV70" s="14"/>
      <c r="AW70" s="47">
        <f>AW67+AW69</f>
        <v>0</v>
      </c>
      <c r="AX70" s="14"/>
      <c r="AY70" s="14"/>
      <c r="AZ70" s="14"/>
      <c r="BA70" s="47">
        <f>BA67+BA69</f>
        <v>0</v>
      </c>
      <c r="BB70" s="14"/>
      <c r="BC70" s="14"/>
      <c r="BD70" s="14"/>
      <c r="BE70" s="47">
        <f>BE67+BE69</f>
        <v>0</v>
      </c>
      <c r="BI70" s="47">
        <f>BI67+BI69</f>
        <v>0</v>
      </c>
      <c r="BM70" s="47">
        <f>BM67+BM69</f>
        <v>0</v>
      </c>
      <c r="BQ70" s="47">
        <f>BQ67+BQ69</f>
        <v>32000</v>
      </c>
    </row>
    <row r="71" spans="1:78" ht="13.5" customHeight="1">
      <c r="A71" s="19"/>
      <c r="B71" s="19"/>
      <c r="C71" s="10"/>
      <c r="D71" s="475"/>
      <c r="E71" s="523"/>
      <c r="F71" s="11"/>
      <c r="H71" s="11" t="s">
        <v>244</v>
      </c>
      <c r="I71" s="11"/>
      <c r="J71" s="45"/>
      <c r="K71" s="45"/>
      <c r="L71" s="45"/>
      <c r="M71" s="46"/>
      <c r="N71" s="46"/>
      <c r="O71" s="46"/>
      <c r="P71" s="46"/>
      <c r="Q71" s="46"/>
      <c r="R71" s="46"/>
      <c r="S71" s="46"/>
      <c r="T71" s="46"/>
      <c r="U71" s="46"/>
      <c r="V71" s="46" t="s">
        <v>245</v>
      </c>
      <c r="W71" s="182">
        <f>W67+W69</f>
        <v>951093.79333333333</v>
      </c>
      <c r="X71" s="51">
        <f>Y67+X67</f>
        <v>822659.65</v>
      </c>
      <c r="Y71" s="182">
        <f>Y67+Y69+X67</f>
        <v>925519.65</v>
      </c>
      <c r="AA71" s="182">
        <f>AA67+AA69</f>
        <v>1813679.3333333333</v>
      </c>
      <c r="AB71" s="51">
        <f>AC67+AB67</f>
        <v>753356.81</v>
      </c>
      <c r="AC71" s="182">
        <f>AC67+AC69+AB67</f>
        <v>927120.81</v>
      </c>
      <c r="AD71" s="14"/>
      <c r="AE71" s="182">
        <f>AE67+AE69</f>
        <v>1290854.3333333333</v>
      </c>
      <c r="AF71" s="51">
        <f>AG67+AF67</f>
        <v>982732</v>
      </c>
      <c r="AG71" s="182">
        <f>AG67+AG69+AF67</f>
        <v>1035451</v>
      </c>
      <c r="AH71" s="14"/>
      <c r="AI71" s="182">
        <f>AI67+AI69</f>
        <v>207445.33333333331</v>
      </c>
      <c r="AJ71" s="51">
        <f>AK67+AJ67</f>
        <v>0</v>
      </c>
      <c r="AK71" s="182">
        <f>AK67+AK69+AJ67</f>
        <v>0</v>
      </c>
      <c r="AL71" s="14"/>
      <c r="AM71" s="182">
        <f>AM67+AM69</f>
        <v>684836.33333333337</v>
      </c>
      <c r="AN71" s="51">
        <f>AO67+AN67</f>
        <v>0</v>
      </c>
      <c r="AO71" s="182">
        <f>AO67+AO69+AN67</f>
        <v>0</v>
      </c>
      <c r="AP71" s="14"/>
      <c r="AQ71" s="182">
        <f>AQ67+AQ69</f>
        <v>3736483.3333333335</v>
      </c>
      <c r="AR71" s="51">
        <f>AS67+AR67</f>
        <v>0</v>
      </c>
      <c r="AS71" s="182">
        <f>AS67+AS69+AR67</f>
        <v>0</v>
      </c>
      <c r="AT71" s="14"/>
      <c r="AU71" s="182">
        <f>AU67+AU69</f>
        <v>527717.33333333337</v>
      </c>
      <c r="AV71" s="51">
        <f>AW67+AV67</f>
        <v>0</v>
      </c>
      <c r="AW71" s="182">
        <f>AW67+AW69+AV67</f>
        <v>0</v>
      </c>
      <c r="AX71" s="14"/>
      <c r="AY71" s="182">
        <f>AY67+AY69</f>
        <v>434333.33333333331</v>
      </c>
      <c r="AZ71" s="51">
        <f>BA67+AZ67</f>
        <v>0</v>
      </c>
      <c r="BA71" s="182">
        <f>BA67+BA69+AZ67</f>
        <v>0</v>
      </c>
      <c r="BB71" s="14"/>
      <c r="BC71" s="182">
        <f>BC67+BC69</f>
        <v>183333.33333333331</v>
      </c>
      <c r="BD71" s="51">
        <f>BE67+BD67</f>
        <v>0</v>
      </c>
      <c r="BE71" s="182">
        <f>BE67+BE69+BD67</f>
        <v>0</v>
      </c>
      <c r="BG71" s="182">
        <f>BG67+BG69</f>
        <v>163333.33333333331</v>
      </c>
      <c r="BH71" s="51">
        <f>BI67+BH67</f>
        <v>0</v>
      </c>
      <c r="BI71" s="182">
        <f>BI67+BI69+BH67</f>
        <v>0</v>
      </c>
      <c r="BK71" s="182">
        <f>BK67+BK69</f>
        <v>83333.333333333328</v>
      </c>
      <c r="BL71" s="51">
        <f>BM67+BL67</f>
        <v>0</v>
      </c>
      <c r="BM71" s="182">
        <f>BM67+BM69+BL67</f>
        <v>0</v>
      </c>
      <c r="BO71" s="182">
        <f>BO67+BO69</f>
        <v>178333.33333333331</v>
      </c>
      <c r="BP71" s="51">
        <f>BQ67+BP67</f>
        <v>0</v>
      </c>
      <c r="BQ71" s="182">
        <f>BQ67+BQ69+BP67</f>
        <v>32000</v>
      </c>
    </row>
    <row r="72" spans="1:78" ht="12.75" customHeight="1">
      <c r="A72" s="19"/>
      <c r="B72" s="19"/>
      <c r="C72" s="10"/>
      <c r="D72" s="475"/>
      <c r="E72" s="523"/>
      <c r="F72" s="11"/>
      <c r="G72" s="11"/>
      <c r="H72" s="11"/>
      <c r="I72" s="11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5"/>
    </row>
    <row r="73" spans="1:78" ht="12.75" customHeight="1">
      <c r="A73" s="19"/>
      <c r="B73" s="55"/>
      <c r="C73" s="10"/>
      <c r="D73" s="475"/>
      <c r="E73" s="523"/>
      <c r="F73" s="11"/>
      <c r="G73" s="11"/>
      <c r="H73" s="11"/>
      <c r="I73" s="11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 t="s">
        <v>246</v>
      </c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5"/>
    </row>
    <row r="74" spans="1:78" ht="12.75" customHeight="1">
      <c r="A74" s="19"/>
      <c r="B74" s="19"/>
      <c r="C74" s="10"/>
      <c r="D74" s="476"/>
      <c r="E74" s="528"/>
      <c r="F74" s="11"/>
      <c r="G74" s="11"/>
      <c r="H74" s="11"/>
      <c r="I74" s="11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5"/>
    </row>
    <row r="75" spans="1:78" ht="16.5" customHeight="1">
      <c r="A75" s="127"/>
      <c r="B75" s="474" t="s">
        <v>247</v>
      </c>
      <c r="C75" s="529"/>
      <c r="D75" s="529"/>
      <c r="E75" s="529"/>
      <c r="F75" s="529"/>
      <c r="G75" s="529"/>
      <c r="H75" s="529"/>
      <c r="I75" s="529"/>
      <c r="J75" s="529"/>
      <c r="K75" s="529"/>
      <c r="L75" s="529"/>
      <c r="M75" s="529"/>
      <c r="N75" s="529"/>
      <c r="O75" s="529"/>
      <c r="P75" s="12"/>
      <c r="Q75" s="12"/>
      <c r="R75" s="12"/>
      <c r="S75" s="12"/>
      <c r="T75" s="12"/>
      <c r="U75" s="12"/>
      <c r="V75" s="471" t="s">
        <v>248</v>
      </c>
      <c r="W75" s="472"/>
      <c r="X75" s="124">
        <f>X67+AB67+AF67+AJ67+AN67+AR67+AV67+AZ67+BD67+BH67+BL67+BP67</f>
        <v>35250</v>
      </c>
      <c r="Z75" s="470" t="s">
        <v>249</v>
      </c>
      <c r="AA75" s="470"/>
      <c r="AB75" s="182">
        <f>Y70+AC70+AG70+AK70+AO70+AS70+AW70+BA70+BE70+BI70+BM70+BQ70</f>
        <v>2884841.46</v>
      </c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5"/>
    </row>
    <row r="76" spans="1:78" ht="12.75" customHeight="1">
      <c r="A76" s="132"/>
      <c r="B76" s="132" t="s">
        <v>1</v>
      </c>
      <c r="C76" s="132" t="s">
        <v>2</v>
      </c>
      <c r="D76" s="132" t="s">
        <v>3</v>
      </c>
      <c r="E76" s="132" t="s">
        <v>4</v>
      </c>
      <c r="F76" s="132" t="s">
        <v>5</v>
      </c>
      <c r="G76" s="132" t="s">
        <v>6</v>
      </c>
      <c r="H76" s="132" t="s">
        <v>7</v>
      </c>
      <c r="I76" s="132" t="s">
        <v>8</v>
      </c>
      <c r="J76" s="132" t="s">
        <v>9</v>
      </c>
      <c r="K76" s="132" t="s">
        <v>10</v>
      </c>
      <c r="L76" s="132" t="s">
        <v>11</v>
      </c>
      <c r="M76" s="132" t="s">
        <v>12</v>
      </c>
      <c r="N76" s="132" t="s">
        <v>250</v>
      </c>
      <c r="O76" s="132" t="s">
        <v>251</v>
      </c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5"/>
    </row>
    <row r="77" spans="1:78" ht="12.75" customHeight="1">
      <c r="A77" s="31" t="s">
        <v>252</v>
      </c>
      <c r="B77" s="56">
        <f>W68</f>
        <v>862762.46</v>
      </c>
      <c r="C77" s="56">
        <f>AA68</f>
        <v>1730346</v>
      </c>
      <c r="D77" s="56">
        <f>AE68</f>
        <v>1207521</v>
      </c>
      <c r="E77" s="56">
        <f>AI68</f>
        <v>124112</v>
      </c>
      <c r="F77" s="56">
        <f>AM68</f>
        <v>601503</v>
      </c>
      <c r="G77" s="56">
        <f>AQ68</f>
        <v>3653150</v>
      </c>
      <c r="H77" s="56">
        <f>AU68</f>
        <v>444384</v>
      </c>
      <c r="I77" s="56">
        <f>AY68</f>
        <v>351000</v>
      </c>
      <c r="J77" s="56">
        <f>BC68</f>
        <v>100000</v>
      </c>
      <c r="K77" s="56">
        <f>BG68</f>
        <v>80000</v>
      </c>
      <c r="L77" s="56">
        <f>BK68</f>
        <v>0</v>
      </c>
      <c r="M77" s="56">
        <f>BO68</f>
        <v>95000</v>
      </c>
      <c r="N77" s="56">
        <f>SUM(B77:M77)</f>
        <v>9249778.4600000009</v>
      </c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5"/>
    </row>
    <row r="78" spans="1:78" ht="12.75" customHeight="1">
      <c r="A78" s="31" t="s">
        <v>253</v>
      </c>
      <c r="B78" s="56">
        <f>Y71</f>
        <v>925519.65</v>
      </c>
      <c r="C78" s="56">
        <f>AC71</f>
        <v>927120.81</v>
      </c>
      <c r="D78" s="56">
        <f>AG71</f>
        <v>1035451</v>
      </c>
      <c r="E78" s="56">
        <f>AK71</f>
        <v>0</v>
      </c>
      <c r="F78" s="56">
        <f>AO71</f>
        <v>0</v>
      </c>
      <c r="G78" s="56">
        <f>AS71</f>
        <v>0</v>
      </c>
      <c r="H78" s="56">
        <f>AW71</f>
        <v>0</v>
      </c>
      <c r="I78" s="56">
        <f>BA71</f>
        <v>0</v>
      </c>
      <c r="J78" s="56">
        <f>BE71</f>
        <v>0</v>
      </c>
      <c r="K78" s="56">
        <f>BI71</f>
        <v>0</v>
      </c>
      <c r="L78" s="56">
        <f>BL71</f>
        <v>0</v>
      </c>
      <c r="M78" s="56">
        <f>BQ71</f>
        <v>32000</v>
      </c>
      <c r="N78" s="56">
        <f t="shared" ref="N78:N81" si="100">SUM(B78:M78)</f>
        <v>2920091.46</v>
      </c>
      <c r="V78" s="471" t="s">
        <v>254</v>
      </c>
      <c r="W78" s="472"/>
      <c r="X78" s="182">
        <f>X75+AB75</f>
        <v>2920091.46</v>
      </c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5"/>
    </row>
    <row r="79" spans="1:78" ht="12.75" customHeight="1">
      <c r="A79" s="31" t="s">
        <v>255</v>
      </c>
      <c r="B79" s="56">
        <f>W69</f>
        <v>83333.333333333328</v>
      </c>
      <c r="C79" s="56">
        <f>AA69</f>
        <v>83333.333333333328</v>
      </c>
      <c r="D79" s="56">
        <f>AE69</f>
        <v>83333.333333333328</v>
      </c>
      <c r="E79" s="56">
        <f>AI69</f>
        <v>83333.333333333328</v>
      </c>
      <c r="F79" s="56">
        <f>AM69</f>
        <v>83333.333333333328</v>
      </c>
      <c r="G79" s="56">
        <f>AQ69</f>
        <v>83333.333333333328</v>
      </c>
      <c r="H79" s="56">
        <f>AU69</f>
        <v>83333.333333333328</v>
      </c>
      <c r="I79" s="56">
        <f>AY69</f>
        <v>83333.333333333328</v>
      </c>
      <c r="J79" s="56">
        <f>BC69</f>
        <v>83333.333333333328</v>
      </c>
      <c r="K79" s="56">
        <f>BG69</f>
        <v>83333.333333333328</v>
      </c>
      <c r="L79" s="56">
        <f>BJ69</f>
        <v>2.478226014091596E-2</v>
      </c>
      <c r="M79" s="56">
        <f>BO69</f>
        <v>83333.333333333328</v>
      </c>
      <c r="N79" s="56">
        <f t="shared" si="100"/>
        <v>916666.69144892693</v>
      </c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5"/>
    </row>
    <row r="80" spans="1:78" ht="12.75" customHeight="1">
      <c r="A80" s="31" t="s">
        <v>256</v>
      </c>
      <c r="B80" s="56">
        <f>Y69</f>
        <v>102860</v>
      </c>
      <c r="C80" s="56">
        <f>AC69</f>
        <v>173764</v>
      </c>
      <c r="D80" s="56">
        <f>AG69</f>
        <v>52719</v>
      </c>
      <c r="E80" s="56">
        <f>AK69</f>
        <v>0</v>
      </c>
      <c r="F80" s="56">
        <f>AO69</f>
        <v>0</v>
      </c>
      <c r="G80" s="56">
        <f>AS69</f>
        <v>0</v>
      </c>
      <c r="H80" s="56">
        <f>AW69</f>
        <v>0</v>
      </c>
      <c r="I80" s="56">
        <f>BA69</f>
        <v>0</v>
      </c>
      <c r="J80" s="56">
        <f>BE69</f>
        <v>0</v>
      </c>
      <c r="K80" s="56">
        <f>BI69</f>
        <v>0</v>
      </c>
      <c r="L80" s="56">
        <f>BL69</f>
        <v>0</v>
      </c>
      <c r="M80" s="56">
        <f>BQ69</f>
        <v>32000</v>
      </c>
      <c r="N80" s="56">
        <f t="shared" si="100"/>
        <v>361343</v>
      </c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5"/>
    </row>
    <row r="81" spans="1:57" ht="12.75" customHeight="1">
      <c r="A81" s="31" t="s">
        <v>257</v>
      </c>
      <c r="B81" s="56">
        <f>SUMIFS(F7:F65, G7:G65, "&gt;=01/01/2026", G7:G65, "&lt;01/02/2026")</f>
        <v>0</v>
      </c>
      <c r="C81" s="56">
        <f>SUMIFS(F7:F65, G7:G65, "&gt;=01/02/2026", G7:G65, "&lt;01/03/2026")</f>
        <v>0</v>
      </c>
      <c r="D81" s="56">
        <f>SUMIFS(F7:F65, G7:G65, "&gt;=01/03/2026", G7:G65, "&lt;01/04/2026")</f>
        <v>0</v>
      </c>
      <c r="E81" s="56">
        <f>SUMIFS(F7:F65, G7:G65, "&gt;=01/04/2026", G7:G65, "&lt;01/05/2026")</f>
        <v>0</v>
      </c>
      <c r="F81" s="56">
        <f>SUMIFS(F7:F65, G7:G65, "&gt;=01/05/2026", G7:G65, "&lt;01/06/2026")</f>
        <v>0</v>
      </c>
      <c r="G81" s="56">
        <f>SUMIFS(F7:F65, G7:G65, "&gt;=01/06/2026", G7:G65, "&lt;01/07/2026")</f>
        <v>0</v>
      </c>
      <c r="H81" s="56">
        <f>SUMIFS(F7:F65, G7:G65, "&gt;=01/07/2026", G7:G65, "&lt;01/08/2026")</f>
        <v>0</v>
      </c>
      <c r="I81" s="56">
        <f>SUMIFS(F7:F65, G7:G65, "&gt;=01/08/2026", G7:G65, "&lt;01/09/2026")</f>
        <v>3094000</v>
      </c>
      <c r="J81" s="56">
        <f>SUMIFS(F7:F65, G7:G65, "&gt;=01/09/2026", G7:G65, "&lt;01/10/2026")</f>
        <v>0</v>
      </c>
      <c r="K81" s="56">
        <f>SUMIFS(F7:F65, G7:G65, "&gt;=01/10/2026", G7:G65, "&lt;01/11/2026")</f>
        <v>0</v>
      </c>
      <c r="L81" s="56">
        <f>SUMIFS(F7:F65, G7:G65, "&gt;=01/11/2026", G7:G65, "&lt;01/12/2026")</f>
        <v>0</v>
      </c>
      <c r="M81" s="56">
        <f>SUMIFS(F7:F65, G7:G65, "&gt;=01/12/2026", G7:G65, "&lt;01/01/2027")</f>
        <v>1769234</v>
      </c>
      <c r="N81" s="56">
        <f t="shared" si="100"/>
        <v>4863234</v>
      </c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5"/>
    </row>
    <row r="82" spans="1:57" ht="12.75" hidden="1" customHeight="1">
      <c r="A82" s="31" t="s">
        <v>258</v>
      </c>
      <c r="B82" s="56">
        <v>44927</v>
      </c>
      <c r="C82" s="56">
        <v>44958</v>
      </c>
      <c r="D82" s="56">
        <v>44986</v>
      </c>
      <c r="E82" s="56">
        <v>45017</v>
      </c>
      <c r="F82" s="56">
        <v>45047</v>
      </c>
      <c r="G82" s="56">
        <v>45078</v>
      </c>
      <c r="H82" s="56">
        <v>45108</v>
      </c>
      <c r="I82" s="56">
        <v>45139</v>
      </c>
      <c r="J82" s="56">
        <v>45170</v>
      </c>
      <c r="K82" s="56">
        <v>45200</v>
      </c>
      <c r="L82" s="56">
        <v>45231</v>
      </c>
      <c r="M82" s="56">
        <v>45231</v>
      </c>
      <c r="N82" s="56">
        <v>45261</v>
      </c>
      <c r="O82" s="56">
        <f t="shared" ref="O82" si="101">SUM(B82:N82)</f>
        <v>586353</v>
      </c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5"/>
    </row>
    <row r="83" spans="1:57" ht="12.75" customHeight="1">
      <c r="A83" s="31" t="s">
        <v>259</v>
      </c>
      <c r="B83" s="56">
        <f>P81 + B81 -B78</f>
        <v>-925519.65</v>
      </c>
      <c r="C83" s="56">
        <f t="shared" ref="C83:K83" si="102">B83 +C81 -C78</f>
        <v>-1852640.46</v>
      </c>
      <c r="D83" s="56">
        <f t="shared" si="102"/>
        <v>-2888091.46</v>
      </c>
      <c r="E83" s="56">
        <f t="shared" si="102"/>
        <v>-2888091.46</v>
      </c>
      <c r="F83" s="56">
        <f t="shared" si="102"/>
        <v>-2888091.46</v>
      </c>
      <c r="G83" s="56">
        <f t="shared" si="102"/>
        <v>-2888091.46</v>
      </c>
      <c r="H83" s="56">
        <f t="shared" si="102"/>
        <v>-2888091.46</v>
      </c>
      <c r="I83" s="56">
        <f t="shared" si="102"/>
        <v>205908.54000000004</v>
      </c>
      <c r="J83" s="56">
        <f t="shared" si="102"/>
        <v>205908.54000000004</v>
      </c>
      <c r="K83" s="56">
        <f t="shared" si="102"/>
        <v>205908.54000000004</v>
      </c>
      <c r="L83" s="56">
        <f>K83 +L81 -L78</f>
        <v>205908.54000000004</v>
      </c>
      <c r="M83" s="56">
        <f>L83 +M81 -M78</f>
        <v>1943142.54</v>
      </c>
      <c r="N83" s="56"/>
      <c r="O83" s="56"/>
      <c r="P83" s="56"/>
      <c r="Q83" s="56"/>
      <c r="R83" s="56"/>
      <c r="S83" s="56"/>
      <c r="T83" s="56"/>
      <c r="U83" s="56"/>
      <c r="V83" s="12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5"/>
    </row>
    <row r="84" spans="1:57" ht="16.5" customHeight="1">
      <c r="A84" s="127"/>
      <c r="B84" s="474" t="s">
        <v>260</v>
      </c>
      <c r="C84" s="529"/>
      <c r="D84" s="529"/>
      <c r="E84" s="529"/>
      <c r="F84" s="529"/>
      <c r="G84" s="529"/>
      <c r="H84" s="529"/>
      <c r="I84" s="529"/>
      <c r="J84" s="529"/>
      <c r="K84" s="529"/>
      <c r="L84" s="529"/>
      <c r="M84" s="529"/>
      <c r="N84" s="529"/>
      <c r="O84" s="529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5"/>
    </row>
    <row r="85" spans="1:57" ht="12.75" customHeight="1">
      <c r="A85" s="31" t="s">
        <v>136</v>
      </c>
      <c r="B85" s="133">
        <f>SUMIFS(W7:W66,E7:E66,A85)</f>
        <v>391998</v>
      </c>
      <c r="C85" s="133">
        <f>SUMIFS(AA7:AA66,E7:E66,A85)</f>
        <v>927000</v>
      </c>
      <c r="D85" s="133">
        <f>SUMIFS(AE7:AE66,E7:E66,A85)</f>
        <v>745452</v>
      </c>
      <c r="E85" s="133">
        <f>SUMIFS(AI7:AI66,E7:E66,A85)</f>
        <v>20000</v>
      </c>
      <c r="F85" s="133">
        <f>SUMIFS(AM7:AM66,E7:E66,A85)</f>
        <v>33046</v>
      </c>
      <c r="G85" s="133">
        <f>SUMIFS(AQ7:AQ66,E7:E66,A85)</f>
        <v>2575600</v>
      </c>
      <c r="H85" s="133">
        <f>SUMIFS(AU7:AU66,E7:E66,A85)</f>
        <v>0</v>
      </c>
      <c r="I85" s="133">
        <f>SUMIFS(AY7:AY66,E7:E66,A85)</f>
        <v>101000</v>
      </c>
      <c r="J85" s="133">
        <f>SUMIFS(BC7:BC66,E7:E66,A85)</f>
        <v>0</v>
      </c>
      <c r="K85" s="133">
        <f>SUMIFS(BG7:BG66,E7:E66,A85)</f>
        <v>0</v>
      </c>
      <c r="L85" s="133">
        <f>SUMIFS(BK7:BK66,E7:E66,A85)</f>
        <v>0</v>
      </c>
      <c r="M85" s="133">
        <f>SUMIFS(BO7:BO66,E7:E66,A85)</f>
        <v>0</v>
      </c>
      <c r="N85" s="133">
        <f>SUM(B85:M85)</f>
        <v>4794096</v>
      </c>
      <c r="O85" s="133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5"/>
      <c r="BD85" s="15"/>
    </row>
    <row r="86" spans="1:57" ht="12.75" customHeight="1">
      <c r="A86" s="31" t="s">
        <v>103</v>
      </c>
      <c r="B86" s="133">
        <f>SUMIFS(W7:W66,E7:E66,A86)</f>
        <v>204300</v>
      </c>
      <c r="C86" s="133">
        <f>SUMIFS(AA7:AA66,E7:E66,A86)</f>
        <v>366560</v>
      </c>
      <c r="D86" s="133">
        <f>SUMIFS(AE7:AE66,E7:E66,A86)</f>
        <v>266250</v>
      </c>
      <c r="E86" s="133">
        <f>SUMIFS(AI7:AI66,E7:E66,A86)</f>
        <v>0</v>
      </c>
      <c r="F86" s="133">
        <f>SUMIFS(AM7:AM66,E7:E66,A86)</f>
        <v>431100</v>
      </c>
      <c r="G86" s="133">
        <f>SUMIFS(AQ7:AQ66,E7:E66,A86)</f>
        <v>219500</v>
      </c>
      <c r="H86" s="133">
        <f>SUMIFS(AU7:AU66,E7:E66,A86)</f>
        <v>100000</v>
      </c>
      <c r="I86" s="133">
        <f>SUMIFS(AY7:AY66,E7:E66,A86)</f>
        <v>0</v>
      </c>
      <c r="J86" s="133">
        <f>SUMIFS(BC7:BC66,E7:E66,A86)</f>
        <v>0</v>
      </c>
      <c r="K86" s="133">
        <f>SUMIFS(BG7:BG66,E7:E66,A86)</f>
        <v>0</v>
      </c>
      <c r="L86" s="133">
        <f>SUMIFS(BK7:BK66,E7:E66,A86)</f>
        <v>0</v>
      </c>
      <c r="M86" s="133">
        <f>SUMIFS(BO7:BO66,E7:E66,A86)</f>
        <v>0</v>
      </c>
      <c r="N86" s="133">
        <f t="shared" ref="N86:N91" si="103">SUM(B86:M86)</f>
        <v>1587710</v>
      </c>
      <c r="O86" s="133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5"/>
      <c r="BD86" s="15"/>
    </row>
    <row r="87" spans="1:57" ht="12.75" customHeight="1">
      <c r="A87" s="31" t="s">
        <v>125</v>
      </c>
      <c r="B87" s="133">
        <f>SUMIFS(W7:W66,E7:E66,A87)</f>
        <v>107472.46</v>
      </c>
      <c r="C87" s="133">
        <f>SUMIFS(AA7:AA66,E7:E66,A87)</f>
        <v>65957</v>
      </c>
      <c r="D87" s="133">
        <f>SUMIFS(AE7:AE66,E7:E66,A87)</f>
        <v>58200</v>
      </c>
      <c r="E87" s="133">
        <f>SUMIFS(AI7:AI66,E7:E66,A87)</f>
        <v>0</v>
      </c>
      <c r="F87" s="133">
        <f>SUMIFS(AM7:AM66,E7:E66,A87)</f>
        <v>16457</v>
      </c>
      <c r="G87" s="133">
        <f>SUMIFS(AQ7:AQ66,E7:E66,A87)</f>
        <v>78000</v>
      </c>
      <c r="H87" s="133">
        <f>SUMIFS(AU7:AU66,E7:E66,A87)</f>
        <v>94384</v>
      </c>
      <c r="I87" s="133">
        <f>SUMIFS(AY7:AY66,E7:E66,A87)</f>
        <v>0</v>
      </c>
      <c r="J87" s="133">
        <f>SUMIFS(BC7:BC66,E7:E66,A87)</f>
        <v>0</v>
      </c>
      <c r="K87" s="133">
        <f>SUMIFS(BG7:BG66,E7:E66,A87)</f>
        <v>80000</v>
      </c>
      <c r="L87" s="133">
        <f>SUMIFS(BK7:BK66,E7:E66,A87)</f>
        <v>0</v>
      </c>
      <c r="M87" s="133">
        <f>SUMIFS(BO7:BO66,E7:E66,A87)</f>
        <v>0</v>
      </c>
      <c r="N87" s="133">
        <f t="shared" si="103"/>
        <v>500470.46</v>
      </c>
      <c r="O87" s="133"/>
    </row>
    <row r="88" spans="1:57" ht="12.75" customHeight="1">
      <c r="A88" s="31" t="s">
        <v>109</v>
      </c>
      <c r="B88" s="133">
        <f>SUMIFS(W7:W66,E7:E66,A88)</f>
        <v>163990</v>
      </c>
      <c r="C88" s="133">
        <f>SUMIFS(AA7:AA66,E7:E66,A88)</f>
        <v>370829</v>
      </c>
      <c r="D88" s="133">
        <f>SUMIFS(AE7:AE66,E7:E66,A88)</f>
        <v>137619</v>
      </c>
      <c r="E88" s="133">
        <f>SUMIFS(AI7:AI66,E7:E66,A88)</f>
        <v>104112</v>
      </c>
      <c r="F88" s="133">
        <f>SUMIFS(AM7:AM66,E7:E66,A88)</f>
        <v>120900</v>
      </c>
      <c r="G88" s="133">
        <f>SUMIFS(AQ7:AQ66,E7:E66,A88)</f>
        <v>780050</v>
      </c>
      <c r="H88" s="133">
        <f>SUMIFS(AU7:AU66,E7:E66,A88)</f>
        <v>250000</v>
      </c>
      <c r="I88" s="133">
        <f>SUMIFS(AY7:AY66,E7:E66,A88)</f>
        <v>250000</v>
      </c>
      <c r="J88" s="133">
        <f>SUMIFS(BC7:BC66,E7:E66,A88)</f>
        <v>100000</v>
      </c>
      <c r="K88" s="133">
        <f>SUMIFS(BG7:BG66,E7:E66,A88)</f>
        <v>0</v>
      </c>
      <c r="L88" s="133">
        <f>SUMIFS(BK7:BK66,E7:E66,A88)</f>
        <v>0</v>
      </c>
      <c r="M88" s="133">
        <f>SUMIFS(BO7:BO66,E7:E66,A88)</f>
        <v>95000</v>
      </c>
      <c r="N88" s="133">
        <f t="shared" si="103"/>
        <v>2372500</v>
      </c>
      <c r="O88" s="133"/>
    </row>
    <row r="89" spans="1:57" ht="12.75" customHeight="1">
      <c r="A89" s="113" t="s">
        <v>261</v>
      </c>
      <c r="B89" s="112">
        <f t="shared" ref="B89:K89" si="104">SUM(B85:B88)</f>
        <v>867760.46</v>
      </c>
      <c r="C89" s="112">
        <f t="shared" si="104"/>
        <v>1730346</v>
      </c>
      <c r="D89" s="112">
        <f t="shared" si="104"/>
        <v>1207521</v>
      </c>
      <c r="E89" s="112">
        <f t="shared" si="104"/>
        <v>124112</v>
      </c>
      <c r="F89" s="112">
        <f t="shared" si="104"/>
        <v>601503</v>
      </c>
      <c r="G89" s="112">
        <f t="shared" si="104"/>
        <v>3653150</v>
      </c>
      <c r="H89" s="112">
        <f t="shared" si="104"/>
        <v>444384</v>
      </c>
      <c r="I89" s="112">
        <f t="shared" si="104"/>
        <v>351000</v>
      </c>
      <c r="J89" s="112">
        <f t="shared" si="104"/>
        <v>100000</v>
      </c>
      <c r="K89" s="112">
        <f t="shared" si="104"/>
        <v>80000</v>
      </c>
      <c r="L89" s="112">
        <f>SUM(L85:L88)</f>
        <v>0</v>
      </c>
      <c r="M89" s="112">
        <f>SUM(M85:M88)</f>
        <v>95000</v>
      </c>
      <c r="N89" s="112">
        <f t="shared" si="103"/>
        <v>9254776.4600000009</v>
      </c>
      <c r="O89" s="112"/>
    </row>
    <row r="90" spans="1:57" ht="12.75" customHeight="1">
      <c r="A90" s="31" t="s">
        <v>262</v>
      </c>
      <c r="B90" s="133">
        <f t="shared" ref="B90:K90" si="105">B85</f>
        <v>391998</v>
      </c>
      <c r="C90" s="133">
        <f t="shared" si="105"/>
        <v>927000</v>
      </c>
      <c r="D90" s="133">
        <f t="shared" si="105"/>
        <v>745452</v>
      </c>
      <c r="E90" s="133">
        <f t="shared" si="105"/>
        <v>20000</v>
      </c>
      <c r="F90" s="133">
        <f t="shared" si="105"/>
        <v>33046</v>
      </c>
      <c r="G90" s="133">
        <f t="shared" si="105"/>
        <v>2575600</v>
      </c>
      <c r="H90" s="133">
        <f t="shared" si="105"/>
        <v>0</v>
      </c>
      <c r="I90" s="133">
        <f t="shared" si="105"/>
        <v>101000</v>
      </c>
      <c r="J90" s="133">
        <f t="shared" si="105"/>
        <v>0</v>
      </c>
      <c r="K90" s="133">
        <f t="shared" si="105"/>
        <v>0</v>
      </c>
      <c r="L90" s="133">
        <f>L85</f>
        <v>0</v>
      </c>
      <c r="M90" s="133">
        <f>SUM(M86:M88)</f>
        <v>95000</v>
      </c>
      <c r="N90" s="133">
        <f t="shared" si="103"/>
        <v>4889096</v>
      </c>
      <c r="O90" s="133"/>
    </row>
    <row r="91" spans="1:57" ht="12.75" customHeight="1">
      <c r="A91" s="31" t="s">
        <v>102</v>
      </c>
      <c r="B91" s="133">
        <f t="shared" ref="B91:K91" si="106">SUM(B86:B88)</f>
        <v>475762.46</v>
      </c>
      <c r="C91" s="133">
        <f t="shared" si="106"/>
        <v>803346</v>
      </c>
      <c r="D91" s="133">
        <f t="shared" si="106"/>
        <v>462069</v>
      </c>
      <c r="E91" s="133">
        <f t="shared" si="106"/>
        <v>104112</v>
      </c>
      <c r="F91" s="133">
        <f t="shared" si="106"/>
        <v>568457</v>
      </c>
      <c r="G91" s="133">
        <f t="shared" si="106"/>
        <v>1077550</v>
      </c>
      <c r="H91" s="133">
        <f t="shared" si="106"/>
        <v>444384</v>
      </c>
      <c r="I91" s="133">
        <f t="shared" si="106"/>
        <v>250000</v>
      </c>
      <c r="J91" s="133">
        <f t="shared" si="106"/>
        <v>100000</v>
      </c>
      <c r="K91" s="133">
        <f t="shared" si="106"/>
        <v>80000</v>
      </c>
      <c r="L91" s="133">
        <f>SUM(L86:L88)</f>
        <v>0</v>
      </c>
      <c r="M91" s="133">
        <f>SUM(M86:M88)</f>
        <v>95000</v>
      </c>
      <c r="N91" s="133">
        <f t="shared" si="103"/>
        <v>4460680.46</v>
      </c>
      <c r="O91" s="133"/>
    </row>
    <row r="92" spans="1:57" ht="12.7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</row>
    <row r="93" spans="1:57" ht="12.75" customHeight="1">
      <c r="A93" s="19"/>
      <c r="B93" s="19"/>
      <c r="C93" s="10"/>
      <c r="D93" s="8"/>
      <c r="E93" s="8"/>
      <c r="F93" s="11"/>
      <c r="G93" s="11"/>
      <c r="H93" s="11"/>
      <c r="I93" s="11"/>
      <c r="J93" s="12"/>
      <c r="K93" s="12"/>
      <c r="L93" s="12"/>
      <c r="M93" s="12"/>
      <c r="N93" s="12"/>
      <c r="O93" s="12"/>
    </row>
    <row r="94" spans="1:57" ht="16.5" customHeight="1">
      <c r="A94" s="474" t="s">
        <v>263</v>
      </c>
      <c r="B94" s="529"/>
      <c r="C94" s="529"/>
      <c r="D94" s="529"/>
      <c r="E94" s="529"/>
      <c r="F94" s="529"/>
      <c r="G94" s="529"/>
      <c r="H94" s="529"/>
      <c r="I94" s="529"/>
      <c r="J94" s="529"/>
      <c r="K94" s="529"/>
      <c r="L94" s="529"/>
      <c r="M94" s="529"/>
      <c r="N94" s="529"/>
      <c r="O94" s="529"/>
    </row>
    <row r="95" spans="1:57" ht="12.75" customHeight="1">
      <c r="A95" s="31" t="s">
        <v>136</v>
      </c>
      <c r="B95" s="133">
        <f>SUMIFS(Y7:Y65,E7:E65,A95)+SUMIFS(X7:X65,E7:E65,A95)</f>
        <v>387000</v>
      </c>
      <c r="C95" s="133">
        <f>SUMIFS(AC7:AC65,E7:E65,A95)+SUMIFS(AB7:AB65,E7:E65,A95)</f>
        <v>540000</v>
      </c>
      <c r="D95" s="133">
        <f>SUMIFS(AG9:AG72,E9:E72,A95)</f>
        <v>745452</v>
      </c>
      <c r="E95" s="133">
        <f>SUMIFS(AK9:AK72,E9:E72,A95)</f>
        <v>0</v>
      </c>
      <c r="F95" s="133">
        <f>SUMIFS(AO9:AO72,E9:E72,A95)</f>
        <v>0</v>
      </c>
      <c r="G95" s="133">
        <f>SUMIFS(AS9:AS72,E9:E72,A95)</f>
        <v>0</v>
      </c>
      <c r="H95" s="133">
        <f>SUMIFS(AW9:AW72,E9:E72,A95)</f>
        <v>0</v>
      </c>
      <c r="I95" s="133">
        <f>SUMIFS(BA9:BA72,E9:E72,A95)</f>
        <v>0</v>
      </c>
      <c r="J95" s="133">
        <f>SUMIFS(BE9:BE72,E9:E72,A95)</f>
        <v>0</v>
      </c>
      <c r="K95" s="133">
        <f>SUMIFS(BI9:BI72,E9:E72,A95)</f>
        <v>0</v>
      </c>
      <c r="L95" s="133">
        <f>SUMIFS(BM9:BM72,E9:E72,A95)</f>
        <v>0</v>
      </c>
      <c r="M95" s="133">
        <f>SUMIFS(BQ9:BQ72,E9:E72,A95)</f>
        <v>0</v>
      </c>
      <c r="N95" s="133">
        <f>SUM(B95:M95)</f>
        <v>1672452</v>
      </c>
      <c r="O95" s="133"/>
    </row>
    <row r="96" spans="1:57" ht="12.75" customHeight="1">
      <c r="A96" s="31" t="s">
        <v>103</v>
      </c>
      <c r="B96" s="133">
        <f>SUMIFS(Y7:Y65,E7:E65,A96)+SUMIFS(X7:X65,E7:E65,A96)</f>
        <v>174300</v>
      </c>
      <c r="C96" s="133">
        <f>SUMIFS(AC7:AC65,E7:E65,A96)+SUMIFS(AB7:AB65,E7:E65,A96)</f>
        <v>0</v>
      </c>
      <c r="D96" s="133">
        <f>SUMIFS(AG9:AG73,E9:E73,A96)</f>
        <v>0</v>
      </c>
      <c r="E96" s="133">
        <f>SUMIFS(AK9:AK73,E9:E73,A96)</f>
        <v>0</v>
      </c>
      <c r="F96" s="133">
        <f>SUMIFS(AO9:AO73,E9:E73,A96)</f>
        <v>0</v>
      </c>
      <c r="G96" s="133">
        <f>SUMIFS(AS9:AS73,E9:E73,A96)</f>
        <v>0</v>
      </c>
      <c r="H96" s="133">
        <f>SUMIFS(AW9:AW73,E9:E73,A96)</f>
        <v>0</v>
      </c>
      <c r="I96" s="133">
        <f>SUMIFS(BA9:BA73,E9:E73,A96)</f>
        <v>0</v>
      </c>
      <c r="J96" s="133">
        <f>SUMIFS(BE9:BE73,E9:E73,A96)</f>
        <v>0</v>
      </c>
      <c r="K96" s="133">
        <f>SUMIFS(BI9:BI73,E9:E73,A96)</f>
        <v>0</v>
      </c>
      <c r="L96" s="133">
        <f>SUMIFS(BM9:BM73,E9:E73,A96)</f>
        <v>0</v>
      </c>
      <c r="M96" s="133">
        <f>SUMIFS(BQ9:BQ73,E9:E73,A96)</f>
        <v>0</v>
      </c>
      <c r="N96" s="133">
        <f t="shared" ref="N96:N101" si="107">SUM(B96:M96)</f>
        <v>174300</v>
      </c>
      <c r="O96" s="133"/>
    </row>
    <row r="97" spans="1:15" ht="12.75" customHeight="1">
      <c r="A97" s="31" t="s">
        <v>125</v>
      </c>
      <c r="B97" s="133">
        <f>SUMIFS(Y7:Y65,E7:E65,A97)+SUMIFS(X7:X65,E7:E65,A97)</f>
        <v>83369.650000000009</v>
      </c>
      <c r="C97" s="133">
        <f>SUMIFS(AC7:AC65,E7:E65,A97)+SUMIFS(AB7:AB65,E7:E65,A97)</f>
        <v>50464.81</v>
      </c>
      <c r="D97" s="133">
        <f>SUMIFS(AG10:AG74,E10:E74,A97)</f>
        <v>58200</v>
      </c>
      <c r="E97" s="133">
        <f>SUMIFS(AK10:AK74,E10:E74,A97)</f>
        <v>0</v>
      </c>
      <c r="F97" s="133">
        <f>SUMIFS(AO10:AO74,E10:E74,A97)</f>
        <v>0</v>
      </c>
      <c r="G97" s="133">
        <f>SUMIFS(AS10:AS74,E10:E74,A97)</f>
        <v>0</v>
      </c>
      <c r="H97" s="133">
        <f>SUMIFS(AW10:AW74,E10:E74,A97)</f>
        <v>0</v>
      </c>
      <c r="I97" s="133">
        <f>SUMIFS(BA10:BA74,E10:E74,A97)</f>
        <v>0</v>
      </c>
      <c r="J97" s="133">
        <f>SUMIFS(BE10:BE74,E10:E74,A97)</f>
        <v>0</v>
      </c>
      <c r="K97" s="133">
        <f>SUMIFS(BI10:BI74,E10:E74,A97)</f>
        <v>0</v>
      </c>
      <c r="L97" s="133">
        <f>SUMIFS(BM10:BM74,E10:E74,A97)</f>
        <v>0</v>
      </c>
      <c r="M97" s="133">
        <f>SUMIFS(BQ10:BQ74,E10:E74,A97)</f>
        <v>0</v>
      </c>
      <c r="N97" s="133">
        <f t="shared" si="107"/>
        <v>192034.46000000002</v>
      </c>
      <c r="O97" s="133"/>
    </row>
    <row r="98" spans="1:15" ht="12.75" customHeight="1">
      <c r="A98" s="31" t="s">
        <v>109</v>
      </c>
      <c r="B98" s="133">
        <f>SUMIFS(Y10:Y76,E10:E76,A98)+SUMIFS(X10:X76,E10:E76,A98)</f>
        <v>137990</v>
      </c>
      <c r="C98" s="133">
        <f>SUMIFS(AC7:AC65,E7:E65,A98)+SUMIFS(AB7:AB65,E7:E65,A98)</f>
        <v>162892</v>
      </c>
      <c r="D98" s="133">
        <f>SUMIFS(AG10:AG76,E10:E76,A98)</f>
        <v>112830</v>
      </c>
      <c r="E98" s="133">
        <f>SUMIFS(AK10:AK76,E10:E76,A98)</f>
        <v>0</v>
      </c>
      <c r="F98" s="133">
        <f>SUMIFS(AO10:AO76,E10:E76,A98)</f>
        <v>0</v>
      </c>
      <c r="G98" s="133">
        <f>SUMIFS(AS10:AS76,E10:E76,A98)</f>
        <v>0</v>
      </c>
      <c r="H98" s="133">
        <f>SUMIFS(AW10:AW76,E10:E76,A98)</f>
        <v>0</v>
      </c>
      <c r="I98" s="133">
        <f>SUMIFS(BA10:BA76,E10:E76,A98)</f>
        <v>0</v>
      </c>
      <c r="J98" s="133">
        <f>SUMIFS(BE10:BE76,E10:E76,A98)</f>
        <v>0</v>
      </c>
      <c r="K98" s="133">
        <f>SUMIFS(BI10:BI76,E10:E76,A98)</f>
        <v>0</v>
      </c>
      <c r="L98" s="133">
        <f>SUMIFS(BM10:BM76,E10:E76,A98)</f>
        <v>0</v>
      </c>
      <c r="M98" s="133">
        <f>SUMIFS(BQ10:BQ76,E10:E76,A98)</f>
        <v>0</v>
      </c>
      <c r="N98" s="133">
        <f t="shared" si="107"/>
        <v>413712</v>
      </c>
      <c r="O98" s="133"/>
    </row>
    <row r="99" spans="1:15" ht="12.75" customHeight="1">
      <c r="A99" s="31" t="s">
        <v>261</v>
      </c>
      <c r="B99" s="112">
        <f t="shared" ref="B99:K99" si="108">SUM(B95:B98)</f>
        <v>782659.65</v>
      </c>
      <c r="C99" s="112">
        <f t="shared" si="108"/>
        <v>753356.81</v>
      </c>
      <c r="D99" s="112">
        <f t="shared" si="108"/>
        <v>916482</v>
      </c>
      <c r="E99" s="112">
        <f t="shared" si="108"/>
        <v>0</v>
      </c>
      <c r="F99" s="112">
        <f t="shared" si="108"/>
        <v>0</v>
      </c>
      <c r="G99" s="112">
        <f t="shared" si="108"/>
        <v>0</v>
      </c>
      <c r="H99" s="112">
        <f t="shared" si="108"/>
        <v>0</v>
      </c>
      <c r="I99" s="112">
        <f t="shared" si="108"/>
        <v>0</v>
      </c>
      <c r="J99" s="112">
        <f t="shared" si="108"/>
        <v>0</v>
      </c>
      <c r="K99" s="112">
        <f t="shared" si="108"/>
        <v>0</v>
      </c>
      <c r="L99" s="112">
        <f>SUM(M95:M98)</f>
        <v>0</v>
      </c>
      <c r="M99" s="112">
        <f>SUM(N95:N98)</f>
        <v>2452498.46</v>
      </c>
      <c r="N99" s="112">
        <f t="shared" si="107"/>
        <v>4904996.92</v>
      </c>
      <c r="O99" s="112"/>
    </row>
    <row r="100" spans="1:15" ht="12.75" customHeight="1">
      <c r="A100" s="31" t="s">
        <v>262</v>
      </c>
      <c r="B100" s="133">
        <f>$B$95</f>
        <v>387000</v>
      </c>
      <c r="C100" s="133">
        <f>$C$95</f>
        <v>540000</v>
      </c>
      <c r="D100" s="133">
        <f>$D$95</f>
        <v>745452</v>
      </c>
      <c r="E100" s="133">
        <f>$E$95</f>
        <v>0</v>
      </c>
      <c r="F100" s="133">
        <f>$F$95</f>
        <v>0</v>
      </c>
      <c r="G100" s="133">
        <f>$G$95</f>
        <v>0</v>
      </c>
      <c r="H100" s="133">
        <f>$H$95</f>
        <v>0</v>
      </c>
      <c r="I100" s="133">
        <f>$I$95</f>
        <v>0</v>
      </c>
      <c r="J100" s="133">
        <f>$J$95</f>
        <v>0</v>
      </c>
      <c r="K100" s="133">
        <f>$K$95</f>
        <v>0</v>
      </c>
      <c r="L100" s="133">
        <f>$L$95</f>
        <v>0</v>
      </c>
      <c r="M100" s="133">
        <f>$M$95</f>
        <v>0</v>
      </c>
      <c r="N100" s="133">
        <f t="shared" si="107"/>
        <v>1672452</v>
      </c>
      <c r="O100" s="133"/>
    </row>
    <row r="101" spans="1:15" ht="12.75" customHeight="1">
      <c r="A101" s="31" t="s">
        <v>102</v>
      </c>
      <c r="B101" s="133">
        <f t="shared" ref="B101:K101" si="109">SUM(B96:B98)</f>
        <v>395659.65</v>
      </c>
      <c r="C101" s="133">
        <f t="shared" si="109"/>
        <v>213356.81</v>
      </c>
      <c r="D101" s="133">
        <f t="shared" si="109"/>
        <v>171030</v>
      </c>
      <c r="E101" s="133">
        <f t="shared" si="109"/>
        <v>0</v>
      </c>
      <c r="F101" s="133">
        <f t="shared" si="109"/>
        <v>0</v>
      </c>
      <c r="G101" s="133">
        <f t="shared" si="109"/>
        <v>0</v>
      </c>
      <c r="H101" s="133">
        <f t="shared" si="109"/>
        <v>0</v>
      </c>
      <c r="I101" s="133">
        <f t="shared" si="109"/>
        <v>0</v>
      </c>
      <c r="J101" s="133">
        <f t="shared" si="109"/>
        <v>0</v>
      </c>
      <c r="K101" s="133">
        <f t="shared" si="109"/>
        <v>0</v>
      </c>
      <c r="L101" s="133">
        <f>SUM(M96:M98)</f>
        <v>0</v>
      </c>
      <c r="M101" s="133">
        <f>SUM(M96:M98)</f>
        <v>0</v>
      </c>
      <c r="N101" s="133">
        <f t="shared" si="107"/>
        <v>780046.46</v>
      </c>
      <c r="O101" s="133"/>
    </row>
    <row r="104" spans="1:15" ht="32.25" customHeight="1">
      <c r="A104" s="31" t="s">
        <v>68</v>
      </c>
      <c r="B104" s="31" t="s">
        <v>139</v>
      </c>
      <c r="C104" s="31" t="s">
        <v>264</v>
      </c>
      <c r="D104" s="31" t="s">
        <v>102</v>
      </c>
      <c r="E104" s="31" t="s">
        <v>227</v>
      </c>
      <c r="F104" s="57" t="s">
        <v>121</v>
      </c>
      <c r="G104" s="31" t="s">
        <v>43</v>
      </c>
      <c r="H104" s="31" t="s">
        <v>265</v>
      </c>
    </row>
    <row r="105" spans="1:15" ht="12.75" customHeight="1">
      <c r="A105" s="58" t="s">
        <v>265</v>
      </c>
      <c r="B105" s="59">
        <f>SUMIFS(BT7:BT66,D7:D66,"אבטחה תוכנה")</f>
        <v>6356718</v>
      </c>
      <c r="C105" s="59">
        <f>SUMIFS(BT7:BT66,D7:D66,"בקרת מבנה תוכנה")</f>
        <v>322000</v>
      </c>
      <c r="D105" s="59">
        <f>SUMIFS(BT7:BT66,D7:D66,"בקרת מבנה")</f>
        <v>1031671.46</v>
      </c>
      <c r="E105" s="59">
        <f>SUMIFS(BT7:BT66,D7:D66,"אבטחה")</f>
        <v>527000</v>
      </c>
      <c r="F105" s="59">
        <f>SUMIFS(BT7:BT66,D7:D66,"אבטחה תוכנה - אל קונטרול")</f>
        <v>694750</v>
      </c>
      <c r="G105" s="59">
        <f>'שרות - כללי'!$J$5</f>
        <v>992645.54</v>
      </c>
      <c r="H105" s="60">
        <f t="shared" ref="H105:H109" si="110">SUM(B105:G105)</f>
        <v>9924785</v>
      </c>
    </row>
    <row r="106" spans="1:15" ht="12.75" customHeight="1">
      <c r="A106" s="58" t="s">
        <v>103</v>
      </c>
      <c r="B106" s="59">
        <f>SUMIFS(BT7:BT66,D7:D66,"אבטחה תוכנה",E7:E66,"מיכאל")</f>
        <v>756260</v>
      </c>
      <c r="C106" s="59">
        <f>SUMIFS(BT7:BT66,D7:D66,"בקרת מבנה תוכנה",E7:E66,"מיכאל")</f>
        <v>170000</v>
      </c>
      <c r="D106" s="59">
        <f>SUMIFS(BT7:BT66,D7:D66,"בקרת מבנה",E7:E66,"מיכאל")</f>
        <v>284902</v>
      </c>
      <c r="E106" s="59">
        <f>SUMIFS(BT7:BT66,D7:D66,"אבטחה",E7:E66,"מיכאל")</f>
        <v>0</v>
      </c>
      <c r="F106" s="59">
        <f>SUMIFS(BT7:BT66,D7:D66,"אבטחה תוכנה - אל קונטרול",E7:E66,"מיכאל")</f>
        <v>318250</v>
      </c>
      <c r="G106" s="59">
        <f>$G$105</f>
        <v>992645.54</v>
      </c>
      <c r="H106" s="60">
        <f t="shared" si="110"/>
        <v>2522057.54</v>
      </c>
    </row>
    <row r="107" spans="1:15" ht="12.75" customHeight="1">
      <c r="A107" s="58" t="s">
        <v>136</v>
      </c>
      <c r="B107" s="59">
        <f>SUMIFS(BT7:BT66,D7:D66,"אבטחה תוכנה",E7:E66,"נדב")</f>
        <v>4780096</v>
      </c>
      <c r="C107" s="59">
        <f>SUMIFS(BT7:BT66,D7:D66,"בקרת מבנה תוכנה",E7:E66,"נדב")</f>
        <v>0</v>
      </c>
      <c r="D107" s="59">
        <f>SUMIFS(BT7:BT66,D7:D66,"בקרת מבנה",E7:E66,"נדב")</f>
        <v>0</v>
      </c>
      <c r="E107" s="59">
        <f>SUMIFS(BT7:BT66,D7:D66,"אבטחה",E7:E66,"נדב")</f>
        <v>0</v>
      </c>
      <c r="F107" s="59">
        <f>SUMIFS(BT7:BT66,D7:D66,"אבטחה תוכנה - אל קונטרול",E7:E66,"נדב")</f>
        <v>0</v>
      </c>
      <c r="G107" s="59">
        <v>0</v>
      </c>
      <c r="H107" s="60">
        <f t="shared" si="110"/>
        <v>4780096</v>
      </c>
    </row>
    <row r="108" spans="1:15" ht="12.75" customHeight="1">
      <c r="A108" s="61" t="s">
        <v>125</v>
      </c>
      <c r="B108" s="59">
        <f>SUMIFS(BT7:BT66,D7:D66,"אבטחה תוכנה",E7:E66,"אבים")</f>
        <v>61200</v>
      </c>
      <c r="C108" s="59">
        <f>SUMIFS(BT7:BT66,D7:D66,"בקרת מבנה תוכנה",E7:E66,"אבים")</f>
        <v>0</v>
      </c>
      <c r="D108" s="59">
        <f>SUMIFS(BT7:BT66,D7:D66,"בקרת מבנה",E7:E66,"אבים")</f>
        <v>392770.46</v>
      </c>
      <c r="E108" s="59">
        <f>SUMIFS(BT7:BT66,D7:D66,"אבטחה",E7:E66,"אבים")</f>
        <v>0</v>
      </c>
      <c r="F108" s="59">
        <f>SUMIFS(BT7:BT66,D7:D66,"אבטחה תוכנה - אל קונטרול",E7:E66,"אבים")</f>
        <v>46500</v>
      </c>
      <c r="G108" s="59">
        <v>0</v>
      </c>
      <c r="H108" s="62">
        <f t="shared" si="110"/>
        <v>500470.46</v>
      </c>
    </row>
    <row r="109" spans="1:15" ht="12.75" customHeight="1">
      <c r="A109" s="61" t="s">
        <v>109</v>
      </c>
      <c r="B109" s="59">
        <f>SUMIFS($BT$7:$BT$66,$D$7:$D$66,"אבטחה תוכנה",$E$7:$E$66,A109)</f>
        <v>759162</v>
      </c>
      <c r="C109" s="59">
        <f>SUMIFS($BT$7:$BT$66,$D$7:$D$66,"בקרת מבנה תוכנה",$E$7:$E$66,A109)</f>
        <v>152000</v>
      </c>
      <c r="D109" s="59">
        <f>SUMIFS($BT$7:$BT$66,D7:D66,"בקרת מבנה",$E$7:$E$66,A109)</f>
        <v>353999</v>
      </c>
      <c r="E109" s="59">
        <f>SUMIFS($BT$7:$BT$66,$D$7:$D$66,"אבטחה",$E$7:$E$66,A109)</f>
        <v>527000</v>
      </c>
      <c r="F109" s="59">
        <f>SUMIFS($BT$7:$BT$66,$D$7:$D$66,"אבטחה תוכנה - אל קונטרול",$E$7:$E$66,A109)</f>
        <v>330000</v>
      </c>
      <c r="G109" s="59">
        <v>0</v>
      </c>
      <c r="H109" s="60">
        <f t="shared" si="110"/>
        <v>2122161</v>
      </c>
    </row>
    <row r="119" spans="1:7" ht="12.75" customHeight="1">
      <c r="A119" s="63" t="s">
        <v>103</v>
      </c>
      <c r="B119" s="19"/>
      <c r="C119" s="63" t="s">
        <v>107</v>
      </c>
      <c r="D119" s="63"/>
      <c r="E119" s="63" t="s">
        <v>139</v>
      </c>
      <c r="F119" s="11"/>
      <c r="G119" s="11" t="s">
        <v>128</v>
      </c>
    </row>
    <row r="120" spans="1:7" ht="12.75" customHeight="1">
      <c r="A120" s="63" t="s">
        <v>136</v>
      </c>
      <c r="B120" s="19"/>
      <c r="C120" s="63" t="s">
        <v>144</v>
      </c>
      <c r="D120" s="63"/>
      <c r="E120" s="63" t="s">
        <v>108</v>
      </c>
      <c r="F120" s="11"/>
      <c r="G120" s="11" t="s">
        <v>104</v>
      </c>
    </row>
    <row r="121" spans="1:7" ht="12.75" customHeight="1">
      <c r="A121" s="63" t="s">
        <v>125</v>
      </c>
      <c r="B121" s="19"/>
      <c r="C121" s="63" t="s">
        <v>147</v>
      </c>
      <c r="D121" s="63"/>
      <c r="E121" s="63" t="s">
        <v>102</v>
      </c>
      <c r="F121" s="11"/>
      <c r="G121" s="11" t="s">
        <v>151</v>
      </c>
    </row>
    <row r="122" spans="1:7" ht="12.75" customHeight="1">
      <c r="A122" s="63" t="s">
        <v>109</v>
      </c>
      <c r="B122" s="19"/>
      <c r="C122" s="63" t="s">
        <v>112</v>
      </c>
      <c r="D122" s="63"/>
      <c r="E122" s="63" t="s">
        <v>227</v>
      </c>
      <c r="F122" s="11"/>
      <c r="G122" s="11" t="s">
        <v>225</v>
      </c>
    </row>
    <row r="123" spans="1:7" ht="12.75" customHeight="1">
      <c r="A123" s="63" t="s">
        <v>265</v>
      </c>
      <c r="B123" s="19"/>
      <c r="C123" s="63" t="s">
        <v>124</v>
      </c>
      <c r="D123" s="63"/>
      <c r="E123" s="63" t="s">
        <v>121</v>
      </c>
      <c r="F123" s="11"/>
      <c r="G123" s="11" t="s">
        <v>182</v>
      </c>
    </row>
    <row r="124" spans="1:7" ht="12.75" customHeight="1">
      <c r="A124" s="63" t="s">
        <v>109</v>
      </c>
      <c r="B124" s="19"/>
      <c r="C124" s="63" t="s">
        <v>266</v>
      </c>
      <c r="D124" s="63"/>
      <c r="E124" s="63" t="s">
        <v>43</v>
      </c>
      <c r="F124" s="11"/>
      <c r="G124" s="11" t="s">
        <v>267</v>
      </c>
    </row>
    <row r="125" spans="1:7" ht="12.75" customHeight="1">
      <c r="A125" s="63"/>
      <c r="B125" s="19"/>
      <c r="C125" s="63" t="s">
        <v>268</v>
      </c>
      <c r="D125" s="63"/>
      <c r="E125" s="63" t="s">
        <v>154</v>
      </c>
      <c r="F125" s="11"/>
      <c r="G125" s="11"/>
    </row>
    <row r="126" spans="1:7" ht="12.75" customHeight="1">
      <c r="A126" s="63"/>
      <c r="B126" s="19"/>
      <c r="C126" s="63" t="s">
        <v>269</v>
      </c>
      <c r="D126" s="63"/>
      <c r="E126" s="19"/>
      <c r="F126" s="11"/>
      <c r="G126" s="11"/>
    </row>
    <row r="127" spans="1:7" ht="12.75" customHeight="1">
      <c r="A127" s="19"/>
      <c r="B127" s="19"/>
      <c r="C127" s="63" t="s">
        <v>101</v>
      </c>
      <c r="D127" s="63"/>
      <c r="E127" s="19"/>
      <c r="F127" s="11"/>
      <c r="G127" s="11"/>
    </row>
    <row r="128" spans="1:7" ht="12.75" customHeight="1">
      <c r="A128" s="19"/>
      <c r="B128" s="19"/>
      <c r="C128" s="63" t="s">
        <v>196</v>
      </c>
      <c r="D128" s="63"/>
      <c r="E128" s="19"/>
      <c r="F128" s="11"/>
      <c r="G128" s="11"/>
    </row>
    <row r="129" spans="1:7" ht="12.75" customHeight="1">
      <c r="A129" s="19"/>
      <c r="B129" s="19"/>
      <c r="C129" s="63" t="s">
        <v>117</v>
      </c>
      <c r="D129" s="63"/>
      <c r="E129" s="19"/>
      <c r="F129" s="11"/>
      <c r="G129" s="11"/>
    </row>
    <row r="130" spans="1:7" ht="12.75" customHeight="1">
      <c r="A130" s="19"/>
      <c r="B130" s="19"/>
      <c r="C130" s="63" t="s">
        <v>207</v>
      </c>
      <c r="D130" s="63"/>
      <c r="E130" s="19"/>
      <c r="F130" s="11"/>
      <c r="G130" s="11"/>
    </row>
    <row r="131" spans="1:7" ht="12.75" customHeight="1">
      <c r="A131" s="19"/>
      <c r="B131" s="19"/>
      <c r="C131" s="63" t="s">
        <v>150</v>
      </c>
      <c r="D131" s="63"/>
      <c r="E131" s="19"/>
      <c r="F131" s="11"/>
      <c r="G131" s="11"/>
    </row>
    <row r="132" spans="1:7" ht="12.75" customHeight="1">
      <c r="A132" s="19"/>
      <c r="B132" s="19"/>
      <c r="C132" s="63" t="s">
        <v>199</v>
      </c>
      <c r="D132" s="63"/>
      <c r="E132" s="19"/>
      <c r="F132" s="11"/>
      <c r="G132" s="11"/>
    </row>
    <row r="133" spans="1:7" ht="12.75" customHeight="1">
      <c r="A133" s="19"/>
      <c r="B133" s="19"/>
      <c r="C133" s="63" t="s">
        <v>270</v>
      </c>
      <c r="D133" s="63"/>
      <c r="E133" s="19"/>
      <c r="F133" s="11"/>
      <c r="G133" s="11"/>
    </row>
    <row r="134" spans="1:7" ht="12.75" customHeight="1">
      <c r="A134" s="19"/>
      <c r="B134" s="19"/>
      <c r="C134" s="63" t="s">
        <v>271</v>
      </c>
      <c r="D134" s="63"/>
      <c r="E134" s="19"/>
      <c r="F134" s="11"/>
      <c r="G134" s="11"/>
    </row>
    <row r="135" spans="1:7" ht="12.75" customHeight="1">
      <c r="C135" s="63" t="s">
        <v>120</v>
      </c>
    </row>
    <row r="136" spans="1:7" ht="12.75" customHeight="1">
      <c r="C136" s="63" t="s">
        <v>188</v>
      </c>
    </row>
    <row r="137" spans="1:7" ht="12.75" customHeight="1">
      <c r="C137" s="63" t="s">
        <v>272</v>
      </c>
    </row>
    <row r="138" spans="1:7" ht="12.75" customHeight="1">
      <c r="C138" s="63" t="s">
        <v>204</v>
      </c>
    </row>
    <row r="139" spans="1:7" ht="12.75" customHeight="1">
      <c r="C139" s="63" t="s">
        <v>273</v>
      </c>
    </row>
    <row r="140" spans="1:7" ht="12.75" customHeight="1">
      <c r="C140" s="63" t="s">
        <v>274</v>
      </c>
    </row>
    <row r="141" spans="1:7" ht="12.75" customHeight="1">
      <c r="C141" s="63" t="s">
        <v>275</v>
      </c>
    </row>
    <row r="142" spans="1:7" ht="12.75" customHeight="1">
      <c r="C142" s="19" t="s">
        <v>185</v>
      </c>
    </row>
    <row r="143" spans="1:7" ht="12.75" customHeight="1">
      <c r="C143" s="19" t="s">
        <v>276</v>
      </c>
    </row>
    <row r="144" spans="1:7" ht="12.75" customHeight="1">
      <c r="C144" s="19" t="s">
        <v>176</v>
      </c>
    </row>
    <row r="145" spans="3:3" ht="12.75" customHeight="1">
      <c r="C145" s="19" t="s">
        <v>135</v>
      </c>
    </row>
    <row r="146" spans="3:3" ht="12.75" customHeight="1">
      <c r="C146" s="19" t="s">
        <v>167</v>
      </c>
    </row>
    <row r="147" spans="3:3" ht="12.75" customHeight="1">
      <c r="C147" s="19" t="s">
        <v>277</v>
      </c>
    </row>
    <row r="148" spans="3:3" ht="12.75" customHeight="1">
      <c r="C148" s="19" t="s">
        <v>278</v>
      </c>
    </row>
  </sheetData>
  <autoFilter ref="A6:CM65" xr:uid="{00000000-0009-0000-0000-000001000000}">
    <filterColumn colId="13">
      <filters blank="1">
        <filter val="בעבודה"/>
        <filter val="הסתיים"/>
        <filter val="התקבלה הזמנה"/>
        <filter val="ממתין להזמנה"/>
      </filters>
    </filterColumn>
    <sortState xmlns:xlrd2="http://schemas.microsoft.com/office/spreadsheetml/2017/richdata2" ref="A7:BZ65">
      <sortCondition ref="G6:G65"/>
    </sortState>
  </autoFilter>
  <mergeCells count="28">
    <mergeCell ref="BB4:BE4"/>
    <mergeCell ref="BF4:BI4"/>
    <mergeCell ref="BJ4:BM4"/>
    <mergeCell ref="BN4:BQ4"/>
    <mergeCell ref="Z4:AC4"/>
    <mergeCell ref="AD4:AG4"/>
    <mergeCell ref="AH4:AK4"/>
    <mergeCell ref="AL4:AO4"/>
    <mergeCell ref="AP4:AS4"/>
    <mergeCell ref="AT4:AW4"/>
    <mergeCell ref="AX4:BA4"/>
    <mergeCell ref="D1:E1"/>
    <mergeCell ref="D2:E2"/>
    <mergeCell ref="F2:I2"/>
    <mergeCell ref="M2:V2"/>
    <mergeCell ref="D3:E3"/>
    <mergeCell ref="M3:V3"/>
    <mergeCell ref="Z75:AA75"/>
    <mergeCell ref="V78:W78"/>
    <mergeCell ref="V4:Y4"/>
    <mergeCell ref="B84:O84"/>
    <mergeCell ref="A94:O94"/>
    <mergeCell ref="D71:E71"/>
    <mergeCell ref="D72:E72"/>
    <mergeCell ref="D73:E73"/>
    <mergeCell ref="D74:E74"/>
    <mergeCell ref="B75:O75"/>
    <mergeCell ref="V75:W75"/>
  </mergeCells>
  <phoneticPr fontId="35" type="noConversion"/>
  <conditionalFormatting sqref="M7:M65">
    <cfRule type="cellIs" dxfId="7" priority="5" operator="greaterThan">
      <formula>1</formula>
    </cfRule>
  </conditionalFormatting>
  <conditionalFormatting sqref="N1:V1 X1:BI1 BK1:BT1 BU1:BW7 BX1:BZ51 W2:BT2 BR3:BT6 BR7:BV7 BR8:BW51 BS66:BZ66 BR66:BR67 BN76:BT82 BR83:BW84 BQ85:BV88 BR89:BW94 BQ95:BV98 BR99:BW1005">
    <cfRule type="cellIs" dxfId="6" priority="13" operator="lessThan">
      <formula>0</formula>
    </cfRule>
  </conditionalFormatting>
  <conditionalFormatting sqref="U7:U65">
    <cfRule type="cellIs" dxfId="5" priority="4" operator="lessThan">
      <formula>0.4</formula>
    </cfRule>
  </conditionalFormatting>
  <conditionalFormatting sqref="BR52:BZ65">
    <cfRule type="cellIs" dxfId="4" priority="2" operator="lessThan">
      <formula>0</formula>
    </cfRule>
  </conditionalFormatting>
  <conditionalFormatting sqref="BR70:BZ75 BX83:BZ1005">
    <cfRule type="cellIs" dxfId="3" priority="8" operator="lessThan">
      <formula>0</formula>
    </cfRule>
  </conditionalFormatting>
  <conditionalFormatting sqref="BW67:BW69">
    <cfRule type="cellIs" dxfId="2" priority="14" operator="lessThan">
      <formula>0</formula>
    </cfRule>
  </conditionalFormatting>
  <dataValidations count="13">
    <dataValidation type="list" allowBlank="1" showErrorMessage="1" sqref="N8 N16:N36" xr:uid="{00000000-0002-0000-0100-000000000000}">
      <formula1>$G$119:$G$123</formula1>
    </dataValidation>
    <dataValidation type="list" allowBlank="1" showErrorMessage="1" sqref="N7 N9:N15" xr:uid="{00000000-0002-0000-0100-000001000000}">
      <formula1>$G$119:$G$122</formula1>
    </dataValidation>
    <dataValidation type="list" allowBlank="1" showErrorMessage="1" sqref="C11:C14 C7:C8" xr:uid="{00000000-0002-0000-0100-000004000000}">
      <formula1>$C$119:$C$144</formula1>
    </dataValidation>
    <dataValidation type="list" allowBlank="1" showErrorMessage="1" sqref="C9:C10 C15" xr:uid="{00000000-0002-0000-0100-000006000000}">
      <formula1>$C$119:$C$141</formula1>
    </dataValidation>
    <dataValidation type="list" allowBlank="1" showErrorMessage="1" sqref="C20:C22" xr:uid="{00000000-0002-0000-0100-000007000000}">
      <formula1>$C$119:$C$146</formula1>
    </dataValidation>
    <dataValidation type="list" allowBlank="1" showErrorMessage="1" sqref="C16:C19" xr:uid="{00000000-0002-0000-0100-000002000000}">
      <formula1>$C$119:$C$145</formula1>
    </dataValidation>
    <dataValidation type="list" allowBlank="1" showErrorMessage="1" sqref="N37:N65" xr:uid="{22096555-314D-4FC4-BB8B-30CD85ED546D}">
      <formula1>$G$119:$G$124</formula1>
    </dataValidation>
    <dataValidation type="list" allowBlank="1" showErrorMessage="1" sqref="C23:C51 C53:C65" xr:uid="{9B539029-5A0B-46FB-9D68-FB2BFA4D92C7}">
      <formula1>$C$119:$C$147</formula1>
    </dataValidation>
    <dataValidation type="list" allowBlank="1" showErrorMessage="1" sqref="E7:E51 E53:E65" xr:uid="{00000000-0002-0000-0100-000003000000}">
      <formula1>$A$119:$A$124</formula1>
    </dataValidation>
    <dataValidation type="list" allowBlank="1" showErrorMessage="1" sqref="D7:D51 D53:D65" xr:uid="{00000000-0002-0000-0100-000005000000}">
      <formula1>$E$119:$E$125</formula1>
    </dataValidation>
    <dataValidation type="list" allowBlank="1" showErrorMessage="1" sqref="C52" xr:uid="{873961B3-F848-4A2B-B2F8-CE46ECF38654}">
      <formula1>$C$168:$C$196</formula1>
    </dataValidation>
    <dataValidation type="list" allowBlank="1" showErrorMessage="1" sqref="E52" xr:uid="{7A573520-32F1-4F64-BDF1-C1866D247C5F}">
      <formula1>$A$168:$A$173</formula1>
    </dataValidation>
    <dataValidation type="list" allowBlank="1" showErrorMessage="1" sqref="D52" xr:uid="{644BDE57-94B4-499C-B62B-9A9099DB429C}">
      <formula1>$E$168:$E$174</formula1>
    </dataValidation>
  </dataValidations>
  <pageMargins left="0.7" right="0.7" top="0.75" bottom="0.75" header="0" footer="0"/>
  <pageSetup paperSize="9" orientation="portrait" r:id="rId1"/>
  <ignoredErrors>
    <ignoredError xmlns:x16r3="http://schemas.microsoft.com/office/spreadsheetml/2018/08/main" sqref="I66" x16r3:misleadingFormat="1"/>
    <ignoredError sqref="BW66" evalError="1"/>
  </ignoredErrors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4" filterMode="1"/>
  <dimension ref="A1:Y486"/>
  <sheetViews>
    <sheetView tabSelected="1" zoomScaleNormal="100" workbookViewId="0">
      <pane xSplit="2" ySplit="3" topLeftCell="C386" activePane="bottomRight" state="frozen"/>
      <selection pane="bottomRight" activeCell="C394" sqref="C394"/>
      <selection pane="bottomLeft" activeCell="A4" sqref="A4"/>
      <selection pane="topRight" activeCell="C1" sqref="C1"/>
    </sheetView>
  </sheetViews>
  <sheetFormatPr defaultColWidth="12.5703125" defaultRowHeight="15" customHeight="1"/>
  <cols>
    <col min="1" max="1" width="12.42578125" customWidth="1"/>
    <col min="2" max="2" width="37" customWidth="1"/>
    <col min="3" max="3" width="48.140625" customWidth="1"/>
    <col min="4" max="4" width="20.42578125" customWidth="1"/>
    <col min="5" max="5" width="20.42578125" hidden="1" customWidth="1"/>
    <col min="6" max="6" width="16.5703125" bestFit="1" customWidth="1"/>
    <col min="7" max="7" width="22.42578125" bestFit="1" customWidth="1"/>
    <col min="8" max="8" width="29.42578125" hidden="1" customWidth="1"/>
    <col min="9" max="9" width="14.42578125" hidden="1" customWidth="1"/>
    <col min="10" max="10" width="18.42578125" bestFit="1" customWidth="1"/>
    <col min="11" max="11" width="16.42578125" customWidth="1"/>
    <col min="12" max="12" width="20.140625" bestFit="1" customWidth="1"/>
    <col min="13" max="13" width="39.140625" customWidth="1"/>
    <col min="14" max="15" width="14.5703125" hidden="1" customWidth="1"/>
    <col min="16" max="16" width="18.5703125" hidden="1" customWidth="1"/>
    <col min="17" max="17" width="19.5703125" hidden="1" customWidth="1"/>
    <col min="18" max="18" width="22.42578125" hidden="1" customWidth="1"/>
    <col min="19" max="19" width="15.85546875" hidden="1" customWidth="1"/>
    <col min="20" max="20" width="20" hidden="1" customWidth="1"/>
    <col min="21" max="21" width="21.42578125" hidden="1" customWidth="1"/>
    <col min="22" max="22" width="12.42578125" hidden="1" customWidth="1"/>
    <col min="23" max="23" width="14" hidden="1" customWidth="1"/>
    <col min="24" max="24" width="15" hidden="1" customWidth="1"/>
    <col min="25" max="25" width="12.42578125" customWidth="1"/>
  </cols>
  <sheetData>
    <row r="1" spans="1:24" ht="12.75" customHeight="1">
      <c r="A1" s="64" t="s">
        <v>279</v>
      </c>
      <c r="B1" s="2" t="s">
        <v>280</v>
      </c>
      <c r="C1" s="2" t="s">
        <v>281</v>
      </c>
      <c r="D1" s="1"/>
      <c r="E1" s="1"/>
      <c r="F1" s="7"/>
      <c r="G1" s="1"/>
      <c r="H1" s="1"/>
      <c r="I1" s="65"/>
      <c r="J1" s="1"/>
      <c r="K1" s="1">
        <f>SUM(K4:K295)</f>
        <v>96595132.460000008</v>
      </c>
      <c r="L1" s="1"/>
      <c r="M1" s="7"/>
      <c r="N1" s="1">
        <f>SUM(N4:N182)</f>
        <v>2003000</v>
      </c>
      <c r="O1" s="1">
        <f>SUM(O4:O182)</f>
        <v>12454037.460000001</v>
      </c>
      <c r="P1" s="1"/>
      <c r="Q1" s="1">
        <f t="shared" ref="Q1:X1" si="0">SUM(Q4:Q182)</f>
        <v>0</v>
      </c>
      <c r="R1" s="1">
        <f t="shared" si="0"/>
        <v>50000</v>
      </c>
      <c r="S1" s="1">
        <f t="shared" si="0"/>
        <v>45000</v>
      </c>
      <c r="T1" s="1">
        <f t="shared" si="0"/>
        <v>21000</v>
      </c>
      <c r="U1" s="1">
        <f t="shared" si="0"/>
        <v>6599000</v>
      </c>
      <c r="V1" s="1">
        <f t="shared" si="0"/>
        <v>7552037.4600000009</v>
      </c>
      <c r="W1" s="1">
        <f t="shared" si="0"/>
        <v>0</v>
      </c>
      <c r="X1" s="1">
        <f t="shared" si="0"/>
        <v>0</v>
      </c>
    </row>
    <row r="2" spans="1:24" ht="12.75" customHeight="1">
      <c r="A2" s="134"/>
      <c r="B2" s="110"/>
      <c r="C2" s="110"/>
      <c r="D2" s="110"/>
      <c r="E2" s="110"/>
      <c r="F2" s="118"/>
      <c r="G2" s="110"/>
      <c r="H2" s="110"/>
      <c r="I2" s="117"/>
      <c r="J2" s="110"/>
      <c r="K2" s="110">
        <f>SUBTOTAL(109,K4:K437)</f>
        <v>24863965.800000001</v>
      </c>
      <c r="L2" s="110"/>
      <c r="M2" s="118"/>
      <c r="N2" s="110">
        <f>SUBTOTAL(109,N4:N182)</f>
        <v>35000</v>
      </c>
      <c r="O2" s="110">
        <f>SUBTOTAL(109,O4:O182)</f>
        <v>81000</v>
      </c>
      <c r="P2" s="110"/>
      <c r="Q2" s="110">
        <f t="shared" ref="Q2:X2" si="1">SUBTOTAL(109,Q4:Q182)</f>
        <v>0</v>
      </c>
      <c r="R2" s="110">
        <f t="shared" si="1"/>
        <v>50000</v>
      </c>
      <c r="S2" s="110">
        <f t="shared" si="1"/>
        <v>45000</v>
      </c>
      <c r="T2" s="110">
        <f t="shared" si="1"/>
        <v>21000</v>
      </c>
      <c r="U2" s="110">
        <f t="shared" si="1"/>
        <v>0</v>
      </c>
      <c r="V2" s="110">
        <f t="shared" si="1"/>
        <v>0</v>
      </c>
      <c r="W2" s="110">
        <f t="shared" si="1"/>
        <v>0</v>
      </c>
      <c r="X2" s="110">
        <f t="shared" si="1"/>
        <v>0</v>
      </c>
    </row>
    <row r="3" spans="1:24" ht="12.75" customHeight="1">
      <c r="A3" s="64"/>
      <c r="B3" s="66" t="s">
        <v>282</v>
      </c>
      <c r="C3" s="66"/>
      <c r="D3" s="1" t="s">
        <v>283</v>
      </c>
      <c r="E3" s="1" t="s">
        <v>284</v>
      </c>
      <c r="F3" s="7" t="s">
        <v>66</v>
      </c>
      <c r="G3" s="1" t="s">
        <v>285</v>
      </c>
      <c r="H3" s="1" t="s">
        <v>286</v>
      </c>
      <c r="I3" s="65" t="s">
        <v>287</v>
      </c>
      <c r="J3" s="1" t="s">
        <v>67</v>
      </c>
      <c r="K3" s="1" t="s">
        <v>288</v>
      </c>
      <c r="L3" s="1" t="s">
        <v>289</v>
      </c>
      <c r="M3" s="7" t="s">
        <v>290</v>
      </c>
      <c r="N3" s="1" t="s">
        <v>291</v>
      </c>
      <c r="O3" s="1" t="s">
        <v>292</v>
      </c>
      <c r="P3" s="1" t="s">
        <v>293</v>
      </c>
      <c r="Q3" s="1" t="s">
        <v>294</v>
      </c>
      <c r="R3" s="1" t="s">
        <v>295</v>
      </c>
      <c r="S3" s="1" t="s">
        <v>296</v>
      </c>
      <c r="T3" s="1" t="s">
        <v>225</v>
      </c>
      <c r="U3" s="1" t="s">
        <v>151</v>
      </c>
      <c r="V3" s="1" t="s">
        <v>297</v>
      </c>
      <c r="W3" s="1" t="s">
        <v>128</v>
      </c>
      <c r="X3" s="1" t="s">
        <v>298</v>
      </c>
    </row>
    <row r="4" spans="1:24" ht="13.15" hidden="1">
      <c r="A4" s="70">
        <v>300010002</v>
      </c>
      <c r="B4" s="3" t="s">
        <v>299</v>
      </c>
      <c r="C4" s="135" t="str">
        <f t="shared" ref="C4:C17" si="2">A4&amp;"-"&amp;B4</f>
        <v>300010002-חנה וסע</v>
      </c>
      <c r="D4" s="136">
        <v>44562</v>
      </c>
      <c r="E4" s="137"/>
      <c r="F4" s="138" t="s">
        <v>107</v>
      </c>
      <c r="G4" s="139" t="s">
        <v>300</v>
      </c>
      <c r="H4" s="114"/>
      <c r="I4" s="117"/>
      <c r="J4" s="111" t="s">
        <v>139</v>
      </c>
      <c r="K4" s="110">
        <v>850000</v>
      </c>
      <c r="L4" s="111" t="s">
        <v>151</v>
      </c>
      <c r="M4" s="140"/>
      <c r="N4" s="110">
        <v>850000</v>
      </c>
      <c r="O4" s="110">
        <f>K4-N4</f>
        <v>0</v>
      </c>
      <c r="P4" s="110" t="s">
        <v>301</v>
      </c>
      <c r="Q4" s="110">
        <f>IF(L4="נתקבלה פנייה",K4,0)</f>
        <v>0</v>
      </c>
      <c r="R4" s="110">
        <f>IF(L4="יצאה הצעת מחיר",K4,0)</f>
        <v>0</v>
      </c>
      <c r="S4" s="110">
        <f>IF(L4="משא ומתן",K4,0)</f>
        <v>0</v>
      </c>
      <c r="T4" s="110">
        <f>IF(L4="ממתין להזמנה",K4,0)</f>
        <v>0</v>
      </c>
      <c r="U4" s="110">
        <f>IF(L4="התקבלה הזמנה",K4,0)</f>
        <v>850000</v>
      </c>
      <c r="V4" s="110">
        <f>IF(L4="נפל",K4,0)</f>
        <v>0</v>
      </c>
      <c r="W4" s="110">
        <f>IF(L4="הסתיים",K4,0)</f>
        <v>0</v>
      </c>
      <c r="X4" s="111">
        <f>IF(L4="הפך להזמנה",(N4-#REF!),0)</f>
        <v>0</v>
      </c>
    </row>
    <row r="5" spans="1:24" ht="13.15" hidden="1">
      <c r="A5" s="70">
        <v>300010005</v>
      </c>
      <c r="B5" s="3" t="s">
        <v>302</v>
      </c>
      <c r="C5" s="135" t="str">
        <f t="shared" si="2"/>
        <v>300010005-רשות ההגירה - שינויים</v>
      </c>
      <c r="D5" s="137">
        <v>44562</v>
      </c>
      <c r="E5" s="137"/>
      <c r="F5" s="115" t="s">
        <v>147</v>
      </c>
      <c r="G5" s="114"/>
      <c r="H5" s="116"/>
      <c r="I5" s="117"/>
      <c r="J5" s="110" t="s">
        <v>303</v>
      </c>
      <c r="K5" s="110">
        <v>100000</v>
      </c>
      <c r="L5" s="110" t="s">
        <v>297</v>
      </c>
      <c r="M5" s="118"/>
      <c r="N5" s="110">
        <v>0</v>
      </c>
      <c r="O5" s="110">
        <f>K5-N5</f>
        <v>100000</v>
      </c>
      <c r="P5" s="110" t="s">
        <v>301</v>
      </c>
      <c r="Q5" s="110">
        <f>IF(L5="נתקבלה פנייה",K5,0)</f>
        <v>0</v>
      </c>
      <c r="R5" s="110">
        <f>IF(L5="יצאה הצעת מחיר",K5,0)</f>
        <v>0</v>
      </c>
      <c r="S5" s="110">
        <f>IF(L5="משא ומתן",K5,0)</f>
        <v>0</v>
      </c>
      <c r="T5" s="110">
        <f>IF(L5="ממתין להזמנה",K5,0)</f>
        <v>0</v>
      </c>
      <c r="U5" s="110">
        <f>IF(L5="התקבלה הזמנה",K5,0)</f>
        <v>0</v>
      </c>
      <c r="V5" s="110">
        <f>IF(L5="נפל",K5,0)</f>
        <v>100000</v>
      </c>
      <c r="W5" s="110">
        <f>IF(L5="הסתיים",K5,0)</f>
        <v>0</v>
      </c>
      <c r="X5" s="110">
        <f>IF(L5="הפך להזמנה",(N5-#REF!),0)</f>
        <v>0</v>
      </c>
    </row>
    <row r="6" spans="1:24" ht="12" hidden="1" customHeight="1">
      <c r="A6" s="70">
        <v>300010006</v>
      </c>
      <c r="B6" s="3" t="s">
        <v>304</v>
      </c>
      <c r="C6" s="135" t="str">
        <f t="shared" si="2"/>
        <v>300010006-מח"ש</v>
      </c>
      <c r="D6" s="137">
        <v>44562</v>
      </c>
      <c r="E6" s="137" t="s">
        <v>305</v>
      </c>
      <c r="F6" s="115" t="s">
        <v>147</v>
      </c>
      <c r="G6" s="114" t="s">
        <v>306</v>
      </c>
      <c r="H6" s="116"/>
      <c r="I6" s="117"/>
      <c r="J6" s="110" t="s">
        <v>303</v>
      </c>
      <c r="K6" s="110">
        <v>25000</v>
      </c>
      <c r="L6" s="110" t="s">
        <v>151</v>
      </c>
      <c r="M6" s="118"/>
      <c r="N6" s="110">
        <v>0</v>
      </c>
      <c r="O6" s="110">
        <f>K6-N6</f>
        <v>25000</v>
      </c>
      <c r="P6" s="110" t="s">
        <v>301</v>
      </c>
      <c r="Q6" s="110">
        <f>IF(L6="נתקבלה פנייה",K6,0)</f>
        <v>0</v>
      </c>
      <c r="R6" s="110">
        <f>IF(L6="יצאה הצעת מחיר",K6,0)</f>
        <v>0</v>
      </c>
      <c r="S6" s="110">
        <f>IF(L6="משא ומתן",K6,0)</f>
        <v>0</v>
      </c>
      <c r="T6" s="110">
        <f>IF(L6="ממתין להזמנה",K6,0)</f>
        <v>0</v>
      </c>
      <c r="U6" s="110">
        <f>IF(L6="התקבלה הזמנה",K6,0)</f>
        <v>25000</v>
      </c>
      <c r="V6" s="110">
        <f>IF(L6="נפל",K6,0)</f>
        <v>0</v>
      </c>
      <c r="W6" s="110">
        <f>IF(L6="הסתיים",K6,0)</f>
        <v>0</v>
      </c>
      <c r="X6" s="110">
        <f>IF(L6="הפך להזמנה",(N6-#REF!),0)</f>
        <v>0</v>
      </c>
    </row>
    <row r="7" spans="1:24" ht="12" hidden="1" customHeight="1">
      <c r="A7" s="70">
        <v>300010011</v>
      </c>
      <c r="B7" s="3" t="s">
        <v>307</v>
      </c>
      <c r="C7" s="135" t="str">
        <f t="shared" si="2"/>
        <v>300010011-נתיב מהיר בקרה</v>
      </c>
      <c r="D7" s="137">
        <v>44563</v>
      </c>
      <c r="E7" s="137"/>
      <c r="F7" s="115" t="s">
        <v>112</v>
      </c>
      <c r="G7" s="114" t="s">
        <v>308</v>
      </c>
      <c r="H7" s="116"/>
      <c r="I7" s="117"/>
      <c r="J7" s="110" t="s">
        <v>108</v>
      </c>
      <c r="K7" s="110">
        <v>470000</v>
      </c>
      <c r="L7" s="110" t="s">
        <v>151</v>
      </c>
      <c r="M7" s="118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</row>
    <row r="8" spans="1:24" ht="12" hidden="1" customHeight="1">
      <c r="A8" s="70">
        <v>300010025</v>
      </c>
      <c r="B8" s="3" t="s">
        <v>309</v>
      </c>
      <c r="C8" s="135" t="str">
        <f t="shared" si="2"/>
        <v>300010025-קניון רננים בקרה</v>
      </c>
      <c r="D8" s="137">
        <v>44928</v>
      </c>
      <c r="E8" s="137"/>
      <c r="F8" s="115" t="s">
        <v>196</v>
      </c>
      <c r="G8" s="114" t="s">
        <v>310</v>
      </c>
      <c r="H8" s="116"/>
      <c r="I8" s="117"/>
      <c r="J8" s="110" t="s">
        <v>102</v>
      </c>
      <c r="K8" s="110">
        <v>704000</v>
      </c>
      <c r="L8" s="110" t="s">
        <v>151</v>
      </c>
      <c r="M8" s="118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</row>
    <row r="9" spans="1:24" ht="12" hidden="1" customHeight="1">
      <c r="A9" s="70">
        <v>300010025</v>
      </c>
      <c r="B9" s="3" t="s">
        <v>311</v>
      </c>
      <c r="C9" s="135" t="str">
        <f t="shared" si="2"/>
        <v>300010025-קניון רננים טמס</v>
      </c>
      <c r="D9" s="137">
        <v>44928</v>
      </c>
      <c r="E9" s="137"/>
      <c r="F9" s="115" t="s">
        <v>196</v>
      </c>
      <c r="G9" s="114" t="s">
        <v>310</v>
      </c>
      <c r="H9" s="116"/>
      <c r="I9" s="117"/>
      <c r="J9" s="110" t="s">
        <v>227</v>
      </c>
      <c r="K9" s="110">
        <v>329220</v>
      </c>
      <c r="L9" s="110" t="s">
        <v>151</v>
      </c>
      <c r="M9" s="118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</row>
    <row r="10" spans="1:24" ht="12" hidden="1" customHeight="1">
      <c r="A10" s="70">
        <v>300010031</v>
      </c>
      <c r="B10" s="3" t="s">
        <v>312</v>
      </c>
      <c r="C10" s="135" t="str">
        <f t="shared" si="2"/>
        <v>300010031-מרלוג אוריין - קרית מלאכי</v>
      </c>
      <c r="D10" s="137">
        <v>44805</v>
      </c>
      <c r="E10" s="137"/>
      <c r="F10" s="115" t="s">
        <v>107</v>
      </c>
      <c r="G10" s="114"/>
      <c r="H10" s="116"/>
      <c r="I10" s="117"/>
      <c r="J10" s="110" t="s">
        <v>102</v>
      </c>
      <c r="K10" s="110">
        <v>40000</v>
      </c>
      <c r="L10" s="110" t="s">
        <v>151</v>
      </c>
      <c r="M10" s="118" t="s">
        <v>313</v>
      </c>
      <c r="N10" s="110">
        <v>0</v>
      </c>
      <c r="O10" s="110">
        <f>K10-N10</f>
        <v>40000</v>
      </c>
      <c r="P10" s="110" t="s">
        <v>301</v>
      </c>
      <c r="Q10" s="110">
        <f>IF(L10="נתקבלה פנייה",K10,0)</f>
        <v>0</v>
      </c>
      <c r="R10" s="110">
        <f>IF(L10="יצאה הצעת מחיר",K10,0)</f>
        <v>0</v>
      </c>
      <c r="S10" s="110">
        <f>IF(L10="משא ומתן",K10,0)</f>
        <v>0</v>
      </c>
      <c r="T10" s="110">
        <f>IF(L10="ממתין להזמנה",K10,0)</f>
        <v>0</v>
      </c>
      <c r="U10" s="110">
        <f>IF(L10="התקבלה הזמנה",K10,0)</f>
        <v>40000</v>
      </c>
      <c r="V10" s="110">
        <f>IF(L10="נפל",K10,0)</f>
        <v>0</v>
      </c>
      <c r="W10" s="110">
        <f>IF(L10="הסתיים",K10,0)</f>
        <v>0</v>
      </c>
      <c r="X10" s="110">
        <f>IF(L10="הפך להזמנה",(N10-#REF!),0)</f>
        <v>0</v>
      </c>
    </row>
    <row r="11" spans="1:24" ht="12.75" hidden="1" customHeight="1">
      <c r="A11" s="70">
        <v>300010032</v>
      </c>
      <c r="B11" s="3" t="s">
        <v>314</v>
      </c>
      <c r="C11" s="135" t="str">
        <f t="shared" si="2"/>
        <v>300010032-מוקד מבנה</v>
      </c>
      <c r="D11" s="137">
        <v>44896</v>
      </c>
      <c r="E11" s="137"/>
      <c r="F11" s="115" t="s">
        <v>107</v>
      </c>
      <c r="G11" s="114" t="s">
        <v>315</v>
      </c>
      <c r="H11" s="116"/>
      <c r="I11" s="117"/>
      <c r="J11" s="110" t="s">
        <v>139</v>
      </c>
      <c r="K11" s="110">
        <v>1200000</v>
      </c>
      <c r="L11" s="110" t="s">
        <v>297</v>
      </c>
      <c r="M11" s="118" t="s">
        <v>316</v>
      </c>
      <c r="N11" s="110">
        <v>0</v>
      </c>
      <c r="O11" s="110">
        <f>K11-N11</f>
        <v>1200000</v>
      </c>
      <c r="P11" s="110" t="s">
        <v>301</v>
      </c>
      <c r="Q11" s="110">
        <f>IF(L11="נתקבלה פנייה",K11,0)</f>
        <v>0</v>
      </c>
      <c r="R11" s="110">
        <f>IF(L11="יצאה הצעת מחיר",K11,0)</f>
        <v>0</v>
      </c>
      <c r="S11" s="110">
        <f>IF(L11="משא ומתן",K11,0)</f>
        <v>0</v>
      </c>
      <c r="T11" s="110">
        <f>IF(L11="ממתין להזמנה",K11,0)</f>
        <v>0</v>
      </c>
      <c r="U11" s="110">
        <f>IF(L11="התקבלה הזמנה",K11,0)</f>
        <v>0</v>
      </c>
      <c r="V11" s="110">
        <f>IF(L11="נפל",K11,0)</f>
        <v>1200000</v>
      </c>
      <c r="W11" s="110">
        <f>IF(L11="הסתיים",K11,0)</f>
        <v>0</v>
      </c>
      <c r="X11" s="110">
        <f>IF(L11="הפך להזמנה",(N11-#REF!),0)</f>
        <v>0</v>
      </c>
    </row>
    <row r="12" spans="1:24" ht="12.75" hidden="1" customHeight="1">
      <c r="A12" s="70">
        <v>300010034</v>
      </c>
      <c r="B12" s="3" t="s">
        <v>317</v>
      </c>
      <c r="C12" s="135" t="str">
        <f t="shared" si="2"/>
        <v>300010034-קריית הממשלה - באר שבע</v>
      </c>
      <c r="D12" s="137">
        <v>44825</v>
      </c>
      <c r="E12" s="137"/>
      <c r="F12" s="115" t="s">
        <v>144</v>
      </c>
      <c r="G12" s="114" t="s">
        <v>318</v>
      </c>
      <c r="H12" s="116"/>
      <c r="I12" s="117"/>
      <c r="J12" s="110" t="s">
        <v>139</v>
      </c>
      <c r="K12" s="110"/>
      <c r="L12" s="110" t="s">
        <v>297</v>
      </c>
      <c r="M12" s="118" t="s">
        <v>319</v>
      </c>
      <c r="N12" s="110">
        <v>50000</v>
      </c>
      <c r="O12" s="110">
        <f>K12-N12</f>
        <v>-50000</v>
      </c>
      <c r="P12" s="110" t="s">
        <v>301</v>
      </c>
      <c r="Q12" s="110">
        <f>IF(L12="נתקבלה פנייה",K12,0)</f>
        <v>0</v>
      </c>
      <c r="R12" s="110">
        <f>IF(L12="יצאה הצעת מחיר",K12,0)</f>
        <v>0</v>
      </c>
      <c r="S12" s="110">
        <f>IF(L12="משא ומתן",K12,0)</f>
        <v>0</v>
      </c>
      <c r="T12" s="110">
        <f>IF(L12="ממתין להזמנה",K12,0)</f>
        <v>0</v>
      </c>
      <c r="U12" s="110">
        <f>IF(L12="התקבלה הזמנה",K12,0)</f>
        <v>0</v>
      </c>
      <c r="V12" s="110">
        <f>IF(L12="נפל",K12,0)</f>
        <v>0</v>
      </c>
      <c r="W12" s="110">
        <f>IF(L12="הסתיים",K12,0)</f>
        <v>0</v>
      </c>
      <c r="X12" s="110">
        <f>IF(L12="הפך להזמנה",(N12-#REF!),0)</f>
        <v>0</v>
      </c>
    </row>
    <row r="13" spans="1:24" ht="12.75" hidden="1" customHeight="1">
      <c r="A13" s="70">
        <v>300010057</v>
      </c>
      <c r="B13" s="3" t="s">
        <v>320</v>
      </c>
      <c r="C13" s="135" t="str">
        <f t="shared" si="2"/>
        <v>300010057-פרויקט רקפות</v>
      </c>
      <c r="D13" s="137">
        <v>44931</v>
      </c>
      <c r="E13" s="137"/>
      <c r="F13" s="115" t="s">
        <v>112</v>
      </c>
      <c r="G13" s="114" t="s">
        <v>321</v>
      </c>
      <c r="H13" s="116"/>
      <c r="I13" s="117"/>
      <c r="J13" s="110" t="s">
        <v>139</v>
      </c>
      <c r="K13" s="110">
        <v>40000</v>
      </c>
      <c r="L13" s="110" t="s">
        <v>151</v>
      </c>
      <c r="M13" s="118"/>
      <c r="N13" s="110">
        <v>0</v>
      </c>
      <c r="O13" s="110">
        <f>K13-N13</f>
        <v>40000</v>
      </c>
      <c r="P13" s="110" t="s">
        <v>301</v>
      </c>
      <c r="Q13" s="110">
        <f>IF(L13="נתקבלה פנייה",K13,0)</f>
        <v>0</v>
      </c>
      <c r="R13" s="110">
        <f>IF(L13="יצאה הצעת מחיר",K13,0)</f>
        <v>0</v>
      </c>
      <c r="S13" s="110">
        <f>IF(L13="משא ומתן",K13,0)</f>
        <v>0</v>
      </c>
      <c r="T13" s="110">
        <f>IF(L13="ממתין להזמנה",K13,0)</f>
        <v>0</v>
      </c>
      <c r="U13" s="110">
        <f>IF(L13="התקבלה הזמנה",K13,0)</f>
        <v>40000</v>
      </c>
      <c r="V13" s="110">
        <f>IF(L13="נפל",K13,0)</f>
        <v>0</v>
      </c>
      <c r="W13" s="110">
        <f>IF(L13="הסתיים",K13,0)</f>
        <v>0</v>
      </c>
      <c r="X13" s="110">
        <f>IF(L13="הפך להזמנה",(N13-#REF!),0)</f>
        <v>0</v>
      </c>
    </row>
    <row r="14" spans="1:24" ht="12.75" hidden="1" customHeight="1">
      <c r="A14" s="70">
        <v>300010058</v>
      </c>
      <c r="B14" s="3" t="s">
        <v>322</v>
      </c>
      <c r="C14" s="135" t="str">
        <f t="shared" si="2"/>
        <v>300010058-נמל חיפה</v>
      </c>
      <c r="D14" s="137">
        <v>45297</v>
      </c>
      <c r="E14" s="137"/>
      <c r="F14" s="115" t="s">
        <v>150</v>
      </c>
      <c r="G14" s="114" t="s">
        <v>323</v>
      </c>
      <c r="H14" s="116"/>
      <c r="I14" s="117"/>
      <c r="J14" s="110" t="s">
        <v>139</v>
      </c>
      <c r="K14" s="110">
        <v>148761</v>
      </c>
      <c r="L14" s="110" t="s">
        <v>151</v>
      </c>
      <c r="M14" s="118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</row>
    <row r="15" spans="1:24" ht="15.75" hidden="1" customHeight="1">
      <c r="A15" s="70">
        <v>300010059</v>
      </c>
      <c r="B15" s="3" t="s">
        <v>324</v>
      </c>
      <c r="C15" s="135" t="str">
        <f t="shared" si="2"/>
        <v>300010059-שרונה כפר סבא</v>
      </c>
      <c r="D15" s="137">
        <v>44931</v>
      </c>
      <c r="E15" s="137"/>
      <c r="F15" s="115" t="s">
        <v>112</v>
      </c>
      <c r="G15" s="114" t="s">
        <v>321</v>
      </c>
      <c r="H15" s="116"/>
      <c r="I15" s="117"/>
      <c r="J15" s="110" t="s">
        <v>139</v>
      </c>
      <c r="K15" s="110">
        <v>20000</v>
      </c>
      <c r="L15" s="110" t="s">
        <v>297</v>
      </c>
      <c r="M15" s="118" t="s">
        <v>325</v>
      </c>
      <c r="N15" s="110">
        <v>0</v>
      </c>
      <c r="O15" s="110">
        <f>K15-N15</f>
        <v>20000</v>
      </c>
      <c r="P15" s="110" t="s">
        <v>301</v>
      </c>
      <c r="Q15" s="110">
        <f>IF(L15="נתקבלה פנייה",K15,0)</f>
        <v>0</v>
      </c>
      <c r="R15" s="110">
        <f>IF(L15="יצאה הצעת מחיר",K15,0)</f>
        <v>0</v>
      </c>
      <c r="S15" s="110">
        <f>IF(L15="משא ומתן",K15,0)</f>
        <v>0</v>
      </c>
      <c r="T15" s="110">
        <f>IF(L15="ממתין להזמנה",K15,0)</f>
        <v>0</v>
      </c>
      <c r="U15" s="110">
        <f>IF(L15="התקבלה הזמנה",K15,0)</f>
        <v>0</v>
      </c>
      <c r="V15" s="110">
        <f>IF(L15="נפל",K15,0)</f>
        <v>20000</v>
      </c>
      <c r="W15" s="110">
        <f>IF(L15="הסתיים",K15,0)</f>
        <v>0</v>
      </c>
      <c r="X15" s="110">
        <f>IF(L15="הפך להזמנה",(N15-#REF!),0)</f>
        <v>0</v>
      </c>
    </row>
    <row r="16" spans="1:24" ht="12.75" hidden="1" customHeight="1">
      <c r="A16" s="70">
        <v>300010071</v>
      </c>
      <c r="B16" s="3" t="s">
        <v>326</v>
      </c>
      <c r="C16" s="135" t="str">
        <f t="shared" si="2"/>
        <v>300010071-בניין נפתית אלקוטרה</v>
      </c>
      <c r="D16" s="137">
        <v>44950</v>
      </c>
      <c r="E16" s="137"/>
      <c r="F16" s="115" t="s">
        <v>144</v>
      </c>
      <c r="G16" s="114" t="s">
        <v>318</v>
      </c>
      <c r="H16" s="116" t="s">
        <v>327</v>
      </c>
      <c r="I16" s="117"/>
      <c r="J16" s="110" t="s">
        <v>139</v>
      </c>
      <c r="K16" s="110">
        <v>290000</v>
      </c>
      <c r="L16" s="110" t="s">
        <v>151</v>
      </c>
      <c r="M16" s="118"/>
      <c r="N16" s="110">
        <v>190000</v>
      </c>
      <c r="O16" s="110">
        <v>290000</v>
      </c>
      <c r="P16" s="110" t="s">
        <v>301</v>
      </c>
      <c r="Q16" s="110">
        <f>IF(L16="נתקבלה פנייה",K16,0)</f>
        <v>0</v>
      </c>
      <c r="R16" s="110">
        <f>IF(L16="יצאה הצעת מחיר",K16,0)</f>
        <v>0</v>
      </c>
      <c r="S16" s="110">
        <f>IF(L16="משא ומתן",K16,0)</f>
        <v>0</v>
      </c>
      <c r="T16" s="110">
        <f>IF(L16="ממתין להזמנה",K16,0)</f>
        <v>0</v>
      </c>
      <c r="U16" s="110">
        <f>IF(L16="התקבלה הזמנה",K16,0)</f>
        <v>290000</v>
      </c>
      <c r="V16" s="110">
        <f>IF(L16="נפל",K16,0)</f>
        <v>0</v>
      </c>
      <c r="W16" s="110">
        <f>IF(L16="הסתיים",K16,0)</f>
        <v>0</v>
      </c>
      <c r="X16" s="110">
        <f>IF(L16="הפך להזמנה",(N16-#REF!),0)</f>
        <v>0</v>
      </c>
    </row>
    <row r="17" spans="1:24" ht="13.15" hidden="1">
      <c r="A17" s="70">
        <v>300010073</v>
      </c>
      <c r="B17" s="3" t="s">
        <v>328</v>
      </c>
      <c r="C17" s="135" t="str">
        <f t="shared" si="2"/>
        <v>300010073-שוב בית חולים בני ציון</v>
      </c>
      <c r="D17" s="137">
        <v>45589</v>
      </c>
      <c r="E17" s="137"/>
      <c r="F17" s="115" t="s">
        <v>329</v>
      </c>
      <c r="G17" s="114" t="s">
        <v>330</v>
      </c>
      <c r="H17" s="116"/>
      <c r="I17" s="117"/>
      <c r="J17" s="110" t="s">
        <v>139</v>
      </c>
      <c r="K17" s="110">
        <v>15000</v>
      </c>
      <c r="L17" s="110" t="s">
        <v>151</v>
      </c>
      <c r="M17" s="118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</row>
    <row r="18" spans="1:24" ht="13.15">
      <c r="A18" s="271">
        <v>300010076</v>
      </c>
      <c r="B18" s="3" t="s">
        <v>331</v>
      </c>
      <c r="C18" s="135" t="str">
        <f t="shared" ref="C18:C49" si="3">A18&amp;"-"&amp;B18</f>
        <v>300010076-צ'מפיון בקרת מבנה</v>
      </c>
      <c r="D18" s="137">
        <v>45590</v>
      </c>
      <c r="E18" s="137"/>
      <c r="F18" s="115" t="s">
        <v>196</v>
      </c>
      <c r="G18" s="114" t="s">
        <v>332</v>
      </c>
      <c r="H18" s="116"/>
      <c r="I18" s="117"/>
      <c r="J18" s="110" t="s">
        <v>102</v>
      </c>
      <c r="K18" s="110">
        <v>413000</v>
      </c>
      <c r="L18" s="110" t="s">
        <v>297</v>
      </c>
      <c r="M18" s="118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</row>
    <row r="19" spans="1:24" ht="12.75" hidden="1" customHeight="1">
      <c r="A19" s="70">
        <v>300010087</v>
      </c>
      <c r="B19" s="3" t="s">
        <v>333</v>
      </c>
      <c r="C19" s="135" t="str">
        <f t="shared" si="3"/>
        <v xml:space="preserve">300010087-מערכת RTLS </v>
      </c>
      <c r="D19" s="137">
        <v>44956</v>
      </c>
      <c r="E19" s="137"/>
      <c r="F19" s="115" t="s">
        <v>147</v>
      </c>
      <c r="G19" s="114" t="s">
        <v>334</v>
      </c>
      <c r="H19" s="116"/>
      <c r="I19" s="117"/>
      <c r="J19" s="110" t="s">
        <v>303</v>
      </c>
      <c r="K19" s="110">
        <f>70000+250000</f>
        <v>320000</v>
      </c>
      <c r="L19" s="110" t="s">
        <v>297</v>
      </c>
      <c r="M19" s="118" t="s">
        <v>335</v>
      </c>
      <c r="N19" s="110">
        <v>70000</v>
      </c>
      <c r="O19" s="110">
        <f t="shared" ref="O19:O33" si="4">K19-N19</f>
        <v>250000</v>
      </c>
      <c r="P19" s="110" t="s">
        <v>301</v>
      </c>
      <c r="Q19" s="110">
        <f t="shared" ref="Q19:Q33" si="5">IF(L19="נתקבלה פנייה",K19,0)</f>
        <v>0</v>
      </c>
      <c r="R19" s="110">
        <f t="shared" ref="R19:R33" si="6">IF(L19="יצאה הצעת מחיר",K19,0)</f>
        <v>0</v>
      </c>
      <c r="S19" s="110">
        <f t="shared" ref="S19:S33" si="7">IF(L19="משא ומתן",K19,0)</f>
        <v>0</v>
      </c>
      <c r="T19" s="110">
        <f t="shared" ref="T19:T33" si="8">IF(L19="ממתין להזמנה",K19,0)</f>
        <v>0</v>
      </c>
      <c r="U19" s="110">
        <f t="shared" ref="U19:U33" si="9">IF(L19="התקבלה הזמנה",K19,0)</f>
        <v>0</v>
      </c>
      <c r="V19" s="110">
        <f t="shared" ref="V19:V33" si="10">IF(L19="נפל",K19,0)</f>
        <v>320000</v>
      </c>
      <c r="W19" s="110">
        <f t="shared" ref="W19:W33" si="11">IF(L19="הסתיים",K19,0)</f>
        <v>0</v>
      </c>
      <c r="X19" s="110">
        <f>IF(L19="הפך להזמנה",(N19-#REF!),0)</f>
        <v>0</v>
      </c>
    </row>
    <row r="20" spans="1:24" ht="13.15" hidden="1">
      <c r="A20" s="70">
        <v>300010091</v>
      </c>
      <c r="B20" s="3" t="s">
        <v>336</v>
      </c>
      <c r="C20" s="135" t="str">
        <f t="shared" si="3"/>
        <v>300010091-קניון השרון נתניה</v>
      </c>
      <c r="D20" s="137">
        <v>44958</v>
      </c>
      <c r="E20" s="137" t="s">
        <v>337</v>
      </c>
      <c r="F20" s="114" t="s">
        <v>207</v>
      </c>
      <c r="G20" s="114" t="s">
        <v>338</v>
      </c>
      <c r="H20" s="116"/>
      <c r="I20" s="117"/>
      <c r="J20" s="110" t="s">
        <v>102</v>
      </c>
      <c r="K20" s="110">
        <v>390000</v>
      </c>
      <c r="L20" s="110" t="s">
        <v>297</v>
      </c>
      <c r="M20" s="118" t="s">
        <v>339</v>
      </c>
      <c r="N20" s="110">
        <v>250000</v>
      </c>
      <c r="O20" s="110">
        <f t="shared" si="4"/>
        <v>140000</v>
      </c>
      <c r="P20" s="110" t="s">
        <v>301</v>
      </c>
      <c r="Q20" s="110">
        <f t="shared" si="5"/>
        <v>0</v>
      </c>
      <c r="R20" s="110">
        <f t="shared" si="6"/>
        <v>0</v>
      </c>
      <c r="S20" s="110">
        <f t="shared" si="7"/>
        <v>0</v>
      </c>
      <c r="T20" s="110">
        <f t="shared" si="8"/>
        <v>0</v>
      </c>
      <c r="U20" s="110">
        <f t="shared" si="9"/>
        <v>0</v>
      </c>
      <c r="V20" s="110">
        <f t="shared" si="10"/>
        <v>390000</v>
      </c>
      <c r="W20" s="110">
        <f t="shared" si="11"/>
        <v>0</v>
      </c>
      <c r="X20" s="110">
        <f>IF(L20="הפך להזמנה",(N20-#REF!),0)</f>
        <v>0</v>
      </c>
    </row>
    <row r="21" spans="1:24" ht="13.15" hidden="1">
      <c r="A21" s="70">
        <v>300010094</v>
      </c>
      <c r="B21" s="3" t="s">
        <v>340</v>
      </c>
      <c r="C21" s="135" t="str">
        <f t="shared" si="3"/>
        <v>300010094-שוב בטחון אפריקה</v>
      </c>
      <c r="D21" s="137">
        <v>44959</v>
      </c>
      <c r="E21" s="137"/>
      <c r="F21" s="115" t="s">
        <v>185</v>
      </c>
      <c r="G21" s="114" t="s">
        <v>341</v>
      </c>
      <c r="H21" s="116"/>
      <c r="I21" s="117"/>
      <c r="J21" s="110" t="s">
        <v>139</v>
      </c>
      <c r="K21" s="110">
        <v>255000</v>
      </c>
      <c r="L21" s="110" t="s">
        <v>297</v>
      </c>
      <c r="M21" s="118" t="s">
        <v>342</v>
      </c>
      <c r="N21" s="110">
        <v>255000</v>
      </c>
      <c r="O21" s="110">
        <f t="shared" si="4"/>
        <v>0</v>
      </c>
      <c r="P21" s="110" t="s">
        <v>40</v>
      </c>
      <c r="Q21" s="110">
        <f t="shared" si="5"/>
        <v>0</v>
      </c>
      <c r="R21" s="110">
        <f t="shared" si="6"/>
        <v>0</v>
      </c>
      <c r="S21" s="110">
        <f t="shared" si="7"/>
        <v>0</v>
      </c>
      <c r="T21" s="110">
        <f t="shared" si="8"/>
        <v>0</v>
      </c>
      <c r="U21" s="110">
        <f t="shared" si="9"/>
        <v>0</v>
      </c>
      <c r="V21" s="110">
        <f t="shared" si="10"/>
        <v>255000</v>
      </c>
      <c r="W21" s="110">
        <f t="shared" si="11"/>
        <v>0</v>
      </c>
      <c r="X21" s="110">
        <f>IF(L21="הפך להזמנה",(N21-#REF!),0)</f>
        <v>0</v>
      </c>
    </row>
    <row r="22" spans="1:24" ht="12.75" hidden="1" customHeight="1">
      <c r="A22" s="70">
        <v>300010095</v>
      </c>
      <c r="B22" s="3" t="s">
        <v>343</v>
      </c>
      <c r="C22" s="135" t="str">
        <f t="shared" si="3"/>
        <v>300010095-מתחם בליליוס ירושלים</v>
      </c>
      <c r="D22" s="137">
        <v>44961</v>
      </c>
      <c r="E22" s="137"/>
      <c r="F22" s="115" t="s">
        <v>112</v>
      </c>
      <c r="G22" s="114" t="s">
        <v>344</v>
      </c>
      <c r="H22" s="116" t="s">
        <v>345</v>
      </c>
      <c r="I22" s="117" t="s">
        <v>346</v>
      </c>
      <c r="J22" s="110" t="s">
        <v>139</v>
      </c>
      <c r="K22" s="110">
        <v>53000</v>
      </c>
      <c r="L22" s="110" t="s">
        <v>297</v>
      </c>
      <c r="M22" s="118" t="s">
        <v>347</v>
      </c>
      <c r="N22" s="110">
        <v>53000</v>
      </c>
      <c r="O22" s="110">
        <f t="shared" si="4"/>
        <v>0</v>
      </c>
      <c r="P22" s="110" t="s">
        <v>301</v>
      </c>
      <c r="Q22" s="110">
        <f t="shared" si="5"/>
        <v>0</v>
      </c>
      <c r="R22" s="110">
        <f t="shared" si="6"/>
        <v>0</v>
      </c>
      <c r="S22" s="110">
        <f t="shared" si="7"/>
        <v>0</v>
      </c>
      <c r="T22" s="110">
        <f t="shared" si="8"/>
        <v>0</v>
      </c>
      <c r="U22" s="110">
        <f t="shared" si="9"/>
        <v>0</v>
      </c>
      <c r="V22" s="110">
        <f t="shared" si="10"/>
        <v>53000</v>
      </c>
      <c r="W22" s="110">
        <f t="shared" si="11"/>
        <v>0</v>
      </c>
      <c r="X22" s="110">
        <f>IF(L22="הפך להזמנה",(N22-#REF!),0)</f>
        <v>0</v>
      </c>
    </row>
    <row r="23" spans="1:24" ht="12.75" customHeight="1">
      <c r="A23" s="70">
        <v>300010096</v>
      </c>
      <c r="B23" s="3" t="s">
        <v>348</v>
      </c>
      <c r="C23" s="135" t="str">
        <f t="shared" si="3"/>
        <v xml:space="preserve">300010096-נחום גולדמן </v>
      </c>
      <c r="D23" s="137">
        <v>44962</v>
      </c>
      <c r="E23" s="137"/>
      <c r="F23" s="115" t="s">
        <v>112</v>
      </c>
      <c r="G23" s="114" t="s">
        <v>344</v>
      </c>
      <c r="H23" s="116" t="s">
        <v>345</v>
      </c>
      <c r="I23" s="117" t="s">
        <v>349</v>
      </c>
      <c r="J23" s="110" t="s">
        <v>139</v>
      </c>
      <c r="K23" s="110">
        <v>21000</v>
      </c>
      <c r="L23" s="110" t="s">
        <v>225</v>
      </c>
      <c r="M23" s="118" t="s">
        <v>350</v>
      </c>
      <c r="N23" s="110">
        <v>35000</v>
      </c>
      <c r="O23" s="110">
        <f t="shared" si="4"/>
        <v>-14000</v>
      </c>
      <c r="P23" s="110" t="s">
        <v>301</v>
      </c>
      <c r="Q23" s="110">
        <f t="shared" si="5"/>
        <v>0</v>
      </c>
      <c r="R23" s="110">
        <f t="shared" si="6"/>
        <v>0</v>
      </c>
      <c r="S23" s="110">
        <f t="shared" si="7"/>
        <v>0</v>
      </c>
      <c r="T23" s="110">
        <f t="shared" si="8"/>
        <v>21000</v>
      </c>
      <c r="U23" s="110">
        <f t="shared" si="9"/>
        <v>0</v>
      </c>
      <c r="V23" s="110">
        <f t="shared" si="10"/>
        <v>0</v>
      </c>
      <c r="W23" s="110">
        <f t="shared" si="11"/>
        <v>0</v>
      </c>
      <c r="X23" s="110">
        <f>IF(L23="הפך להזמנה",(N23-#REF!),0)</f>
        <v>0</v>
      </c>
    </row>
    <row r="24" spans="1:24" ht="12.75" hidden="1" customHeight="1">
      <c r="A24" s="70">
        <v>300010100</v>
      </c>
      <c r="B24" s="3" t="s">
        <v>351</v>
      </c>
      <c r="C24" s="135" t="str">
        <f t="shared" si="3"/>
        <v xml:space="preserve">300010100-אוניברסיטת בין גוריון </v>
      </c>
      <c r="D24" s="137">
        <v>44966</v>
      </c>
      <c r="E24" s="137" t="s">
        <v>305</v>
      </c>
      <c r="F24" s="115" t="s">
        <v>107</v>
      </c>
      <c r="G24" s="114" t="s">
        <v>352</v>
      </c>
      <c r="H24" s="116"/>
      <c r="I24" s="117"/>
      <c r="J24" s="110" t="s">
        <v>108</v>
      </c>
      <c r="K24" s="110">
        <v>500000</v>
      </c>
      <c r="L24" s="110" t="s">
        <v>151</v>
      </c>
      <c r="M24" s="118" t="s">
        <v>353</v>
      </c>
      <c r="N24" s="110">
        <v>250000</v>
      </c>
      <c r="O24" s="110">
        <f t="shared" si="4"/>
        <v>250000</v>
      </c>
      <c r="P24" s="110" t="s">
        <v>301</v>
      </c>
      <c r="Q24" s="110">
        <f t="shared" si="5"/>
        <v>0</v>
      </c>
      <c r="R24" s="110">
        <f t="shared" si="6"/>
        <v>0</v>
      </c>
      <c r="S24" s="110">
        <f t="shared" si="7"/>
        <v>0</v>
      </c>
      <c r="T24" s="110">
        <f t="shared" si="8"/>
        <v>0</v>
      </c>
      <c r="U24" s="110">
        <f t="shared" si="9"/>
        <v>500000</v>
      </c>
      <c r="V24" s="110">
        <f t="shared" si="10"/>
        <v>0</v>
      </c>
      <c r="W24" s="110">
        <f t="shared" si="11"/>
        <v>0</v>
      </c>
      <c r="X24" s="110">
        <f>IF(L24="הפך להזמנה",(N24-#REF!),0)</f>
        <v>0</v>
      </c>
    </row>
    <row r="25" spans="1:24" ht="12.75" hidden="1" customHeight="1">
      <c r="A25" s="70">
        <v>300010104</v>
      </c>
      <c r="B25" s="3" t="s">
        <v>354</v>
      </c>
      <c r="C25" s="135" t="str">
        <f t="shared" si="3"/>
        <v>300010104-א.ר תעשיות מיגון</v>
      </c>
      <c r="D25" s="137">
        <v>44946</v>
      </c>
      <c r="E25" s="137"/>
      <c r="F25" s="114" t="s">
        <v>199</v>
      </c>
      <c r="G25" s="114" t="s">
        <v>355</v>
      </c>
      <c r="H25" s="116" t="s">
        <v>356</v>
      </c>
      <c r="I25" s="117" t="s">
        <v>357</v>
      </c>
      <c r="J25" s="110" t="s">
        <v>154</v>
      </c>
      <c r="K25" s="110">
        <v>34956.75</v>
      </c>
      <c r="L25" s="110" t="s">
        <v>297</v>
      </c>
      <c r="M25" s="118" t="s">
        <v>358</v>
      </c>
      <c r="N25" s="110">
        <v>0</v>
      </c>
      <c r="O25" s="110">
        <f t="shared" si="4"/>
        <v>34956.75</v>
      </c>
      <c r="P25" s="110" t="s">
        <v>301</v>
      </c>
      <c r="Q25" s="110">
        <f t="shared" si="5"/>
        <v>0</v>
      </c>
      <c r="R25" s="110">
        <f t="shared" si="6"/>
        <v>0</v>
      </c>
      <c r="S25" s="110">
        <f t="shared" si="7"/>
        <v>0</v>
      </c>
      <c r="T25" s="110">
        <f t="shared" si="8"/>
        <v>0</v>
      </c>
      <c r="U25" s="110">
        <f t="shared" si="9"/>
        <v>0</v>
      </c>
      <c r="V25" s="110">
        <f t="shared" si="10"/>
        <v>34956.75</v>
      </c>
      <c r="W25" s="110">
        <f t="shared" si="11"/>
        <v>0</v>
      </c>
      <c r="X25" s="110">
        <f>IF(L25="הפך להזמנה",(N25-#REF!),0)</f>
        <v>0</v>
      </c>
    </row>
    <row r="26" spans="1:24" ht="12.75" hidden="1" customHeight="1">
      <c r="A26" s="70">
        <v>300010105</v>
      </c>
      <c r="B26" s="3" t="s">
        <v>359</v>
      </c>
      <c r="C26" s="135" t="str">
        <f t="shared" si="3"/>
        <v>300010105-קרן אש</v>
      </c>
      <c r="D26" s="137">
        <v>44956</v>
      </c>
      <c r="E26" s="137"/>
      <c r="F26" s="114" t="s">
        <v>199</v>
      </c>
      <c r="G26" s="114" t="s">
        <v>332</v>
      </c>
      <c r="H26" s="116" t="s">
        <v>360</v>
      </c>
      <c r="I26" s="117" t="s">
        <v>361</v>
      </c>
      <c r="J26" s="110" t="s">
        <v>154</v>
      </c>
      <c r="K26" s="110">
        <v>47217.95</v>
      </c>
      <c r="L26" s="110" t="s">
        <v>297</v>
      </c>
      <c r="M26" s="118" t="s">
        <v>362</v>
      </c>
      <c r="N26" s="110">
        <v>0</v>
      </c>
      <c r="O26" s="110">
        <f t="shared" si="4"/>
        <v>47217.95</v>
      </c>
      <c r="P26" s="110" t="s">
        <v>301</v>
      </c>
      <c r="Q26" s="110">
        <f t="shared" si="5"/>
        <v>0</v>
      </c>
      <c r="R26" s="110">
        <f t="shared" si="6"/>
        <v>0</v>
      </c>
      <c r="S26" s="110">
        <f t="shared" si="7"/>
        <v>0</v>
      </c>
      <c r="T26" s="110">
        <f t="shared" si="8"/>
        <v>0</v>
      </c>
      <c r="U26" s="110">
        <f t="shared" si="9"/>
        <v>0</v>
      </c>
      <c r="V26" s="110">
        <f t="shared" si="10"/>
        <v>47217.95</v>
      </c>
      <c r="W26" s="110">
        <f t="shared" si="11"/>
        <v>0</v>
      </c>
      <c r="X26" s="110">
        <f>IF(L26="הפך להזמנה",(N26-#REF!),0)</f>
        <v>0</v>
      </c>
    </row>
    <row r="27" spans="1:24" ht="12.75" hidden="1" customHeight="1">
      <c r="A27" s="70">
        <v>300010106</v>
      </c>
      <c r="B27" s="3" t="s">
        <v>363</v>
      </c>
      <c r="C27" s="135" t="str">
        <f t="shared" si="3"/>
        <v xml:space="preserve">300010106-ס.ע תקשורת וחשמל </v>
      </c>
      <c r="D27" s="137">
        <v>44959</v>
      </c>
      <c r="E27" s="137"/>
      <c r="F27" s="114" t="s">
        <v>199</v>
      </c>
      <c r="G27" s="114" t="s">
        <v>364</v>
      </c>
      <c r="H27" s="116" t="s">
        <v>365</v>
      </c>
      <c r="I27" s="117" t="s">
        <v>366</v>
      </c>
      <c r="J27" s="110" t="s">
        <v>154</v>
      </c>
      <c r="K27" s="110">
        <v>84522</v>
      </c>
      <c r="L27" s="110" t="s">
        <v>297</v>
      </c>
      <c r="M27" s="118" t="s">
        <v>367</v>
      </c>
      <c r="N27" s="110">
        <v>0</v>
      </c>
      <c r="O27" s="110">
        <f t="shared" si="4"/>
        <v>84522</v>
      </c>
      <c r="P27" s="110" t="s">
        <v>301</v>
      </c>
      <c r="Q27" s="110">
        <f t="shared" si="5"/>
        <v>0</v>
      </c>
      <c r="R27" s="110">
        <f t="shared" si="6"/>
        <v>0</v>
      </c>
      <c r="S27" s="110">
        <f t="shared" si="7"/>
        <v>0</v>
      </c>
      <c r="T27" s="110">
        <f t="shared" si="8"/>
        <v>0</v>
      </c>
      <c r="U27" s="110">
        <f t="shared" si="9"/>
        <v>0</v>
      </c>
      <c r="V27" s="110">
        <f t="shared" si="10"/>
        <v>84522</v>
      </c>
      <c r="W27" s="110">
        <f t="shared" si="11"/>
        <v>0</v>
      </c>
      <c r="X27" s="110">
        <f>IF(L27="הפך להזמנה",(N27-#REF!),0)</f>
        <v>0</v>
      </c>
    </row>
    <row r="28" spans="1:24" ht="12.75" hidden="1" customHeight="1">
      <c r="A28" s="70">
        <v>300010107</v>
      </c>
      <c r="B28" s="3" t="s">
        <v>368</v>
      </c>
      <c r="C28" s="135" t="str">
        <f t="shared" si="3"/>
        <v>300010107-א. יאנוס</v>
      </c>
      <c r="D28" s="137">
        <v>44927</v>
      </c>
      <c r="E28" s="137"/>
      <c r="F28" s="114" t="s">
        <v>199</v>
      </c>
      <c r="G28" s="114" t="s">
        <v>369</v>
      </c>
      <c r="H28" s="116" t="s">
        <v>370</v>
      </c>
      <c r="I28" s="117" t="s">
        <v>371</v>
      </c>
      <c r="J28" s="110" t="s">
        <v>154</v>
      </c>
      <c r="K28" s="110">
        <v>60154</v>
      </c>
      <c r="L28" s="110" t="s">
        <v>297</v>
      </c>
      <c r="M28" s="118" t="s">
        <v>372</v>
      </c>
      <c r="N28" s="110">
        <v>0</v>
      </c>
      <c r="O28" s="110">
        <f t="shared" si="4"/>
        <v>60154</v>
      </c>
      <c r="P28" s="110" t="s">
        <v>301</v>
      </c>
      <c r="Q28" s="110">
        <f t="shared" si="5"/>
        <v>0</v>
      </c>
      <c r="R28" s="110">
        <f t="shared" si="6"/>
        <v>0</v>
      </c>
      <c r="S28" s="110">
        <f t="shared" si="7"/>
        <v>0</v>
      </c>
      <c r="T28" s="110">
        <f t="shared" si="8"/>
        <v>0</v>
      </c>
      <c r="U28" s="110">
        <f t="shared" si="9"/>
        <v>0</v>
      </c>
      <c r="V28" s="110">
        <f t="shared" si="10"/>
        <v>60154</v>
      </c>
      <c r="W28" s="110">
        <f t="shared" si="11"/>
        <v>0</v>
      </c>
      <c r="X28" s="110">
        <f>IF(L28="הפך להזמנה",(N28-#REF!),0)</f>
        <v>0</v>
      </c>
    </row>
    <row r="29" spans="1:24" ht="12.75" hidden="1" customHeight="1">
      <c r="A29" s="70">
        <v>300010108</v>
      </c>
      <c r="B29" s="3" t="s">
        <v>373</v>
      </c>
      <c r="C29" s="135" t="str">
        <f t="shared" si="3"/>
        <v>300010108-א.דנן</v>
      </c>
      <c r="D29" s="137">
        <v>44941</v>
      </c>
      <c r="E29" s="137"/>
      <c r="F29" s="114" t="s">
        <v>199</v>
      </c>
      <c r="G29" s="114" t="s">
        <v>352</v>
      </c>
      <c r="H29" s="116" t="s">
        <v>374</v>
      </c>
      <c r="I29" s="117" t="s">
        <v>375</v>
      </c>
      <c r="J29" s="110" t="s">
        <v>154</v>
      </c>
      <c r="K29" s="110">
        <v>63309.4</v>
      </c>
      <c r="L29" s="110" t="s">
        <v>297</v>
      </c>
      <c r="M29" s="118" t="s">
        <v>376</v>
      </c>
      <c r="N29" s="110">
        <v>0</v>
      </c>
      <c r="O29" s="110">
        <f t="shared" si="4"/>
        <v>63309.4</v>
      </c>
      <c r="P29" s="110" t="s">
        <v>301</v>
      </c>
      <c r="Q29" s="110">
        <f t="shared" si="5"/>
        <v>0</v>
      </c>
      <c r="R29" s="110">
        <f t="shared" si="6"/>
        <v>0</v>
      </c>
      <c r="S29" s="110">
        <f t="shared" si="7"/>
        <v>0</v>
      </c>
      <c r="T29" s="110">
        <f t="shared" si="8"/>
        <v>0</v>
      </c>
      <c r="U29" s="110">
        <f t="shared" si="9"/>
        <v>0</v>
      </c>
      <c r="V29" s="110">
        <f t="shared" si="10"/>
        <v>63309.4</v>
      </c>
      <c r="W29" s="110">
        <f t="shared" si="11"/>
        <v>0</v>
      </c>
      <c r="X29" s="110">
        <f>IF(L29="הפך להזמנה",(N29-#REF!),0)</f>
        <v>0</v>
      </c>
    </row>
    <row r="30" spans="1:24" ht="12.75" hidden="1" customHeight="1">
      <c r="A30" s="70">
        <v>300010109</v>
      </c>
      <c r="B30" s="3" t="s">
        <v>377</v>
      </c>
      <c r="C30" s="135" t="str">
        <f t="shared" si="3"/>
        <v>300010109-אגן בינדו</v>
      </c>
      <c r="D30" s="137">
        <v>44964</v>
      </c>
      <c r="E30" s="137"/>
      <c r="F30" s="114" t="s">
        <v>199</v>
      </c>
      <c r="G30" s="114" t="s">
        <v>301</v>
      </c>
      <c r="H30" s="116" t="s">
        <v>378</v>
      </c>
      <c r="I30" s="117" t="s">
        <v>379</v>
      </c>
      <c r="J30" s="110" t="s">
        <v>154</v>
      </c>
      <c r="K30" s="110">
        <v>52760.68</v>
      </c>
      <c r="L30" s="110" t="s">
        <v>297</v>
      </c>
      <c r="M30" s="118" t="s">
        <v>380</v>
      </c>
      <c r="N30" s="110">
        <v>0</v>
      </c>
      <c r="O30" s="110">
        <f t="shared" si="4"/>
        <v>52760.68</v>
      </c>
      <c r="P30" s="110" t="s">
        <v>301</v>
      </c>
      <c r="Q30" s="110">
        <f t="shared" si="5"/>
        <v>0</v>
      </c>
      <c r="R30" s="110">
        <f t="shared" si="6"/>
        <v>0</v>
      </c>
      <c r="S30" s="110">
        <f t="shared" si="7"/>
        <v>0</v>
      </c>
      <c r="T30" s="110">
        <f t="shared" si="8"/>
        <v>0</v>
      </c>
      <c r="U30" s="110">
        <f t="shared" si="9"/>
        <v>0</v>
      </c>
      <c r="V30" s="110">
        <f t="shared" si="10"/>
        <v>52760.68</v>
      </c>
      <c r="W30" s="110">
        <f t="shared" si="11"/>
        <v>0</v>
      </c>
      <c r="X30" s="110">
        <f>IF(L30="הפך להזמנה",(N30-#REF!),0)</f>
        <v>0</v>
      </c>
    </row>
    <row r="31" spans="1:24" ht="12.75" hidden="1" customHeight="1">
      <c r="A31" s="70">
        <v>300010110</v>
      </c>
      <c r="B31" s="3" t="s">
        <v>377</v>
      </c>
      <c r="C31" s="135" t="str">
        <f t="shared" si="3"/>
        <v>300010110-אגן בינדו</v>
      </c>
      <c r="D31" s="137">
        <v>44964</v>
      </c>
      <c r="E31" s="137"/>
      <c r="F31" s="114" t="s">
        <v>199</v>
      </c>
      <c r="G31" s="114" t="s">
        <v>301</v>
      </c>
      <c r="H31" s="116" t="s">
        <v>378</v>
      </c>
      <c r="I31" s="117" t="s">
        <v>379</v>
      </c>
      <c r="J31" s="110" t="s">
        <v>154</v>
      </c>
      <c r="K31" s="110">
        <v>52760.68</v>
      </c>
      <c r="L31" s="110" t="s">
        <v>297</v>
      </c>
      <c r="M31" s="118" t="s">
        <v>381</v>
      </c>
      <c r="N31" s="110">
        <v>0</v>
      </c>
      <c r="O31" s="110">
        <f t="shared" si="4"/>
        <v>52760.68</v>
      </c>
      <c r="P31" s="110" t="s">
        <v>301</v>
      </c>
      <c r="Q31" s="110">
        <f t="shared" si="5"/>
        <v>0</v>
      </c>
      <c r="R31" s="110">
        <f t="shared" si="6"/>
        <v>0</v>
      </c>
      <c r="S31" s="110">
        <f t="shared" si="7"/>
        <v>0</v>
      </c>
      <c r="T31" s="110">
        <f t="shared" si="8"/>
        <v>0</v>
      </c>
      <c r="U31" s="110">
        <f t="shared" si="9"/>
        <v>0</v>
      </c>
      <c r="V31" s="110">
        <f t="shared" si="10"/>
        <v>52760.68</v>
      </c>
      <c r="W31" s="110">
        <f t="shared" si="11"/>
        <v>0</v>
      </c>
      <c r="X31" s="110">
        <f>IF(L31="הפך להזמנה",(N31-#REF!),0)</f>
        <v>0</v>
      </c>
    </row>
    <row r="32" spans="1:24" ht="12.75" hidden="1" customHeight="1">
      <c r="A32" s="70">
        <v>300010112</v>
      </c>
      <c r="B32" s="5" t="s">
        <v>382</v>
      </c>
      <c r="C32" s="135" t="str">
        <f t="shared" si="3"/>
        <v>300010112-אקסיס ל.ל 2018 טכנולוגיות ובטחון בע"מ</v>
      </c>
      <c r="D32" s="137">
        <v>44976</v>
      </c>
      <c r="E32" s="137"/>
      <c r="F32" s="114" t="s">
        <v>199</v>
      </c>
      <c r="G32" s="141" t="s">
        <v>383</v>
      </c>
      <c r="H32" s="141" t="s">
        <v>384</v>
      </c>
      <c r="I32" s="117" t="s">
        <v>385</v>
      </c>
      <c r="J32" s="110" t="s">
        <v>154</v>
      </c>
      <c r="K32" s="110">
        <v>113526</v>
      </c>
      <c r="L32" s="110" t="s">
        <v>297</v>
      </c>
      <c r="M32" s="118" t="s">
        <v>386</v>
      </c>
      <c r="N32" s="110">
        <v>0</v>
      </c>
      <c r="O32" s="110">
        <f t="shared" si="4"/>
        <v>113526</v>
      </c>
      <c r="P32" s="110" t="s">
        <v>301</v>
      </c>
      <c r="Q32" s="110">
        <f t="shared" si="5"/>
        <v>0</v>
      </c>
      <c r="R32" s="110">
        <f t="shared" si="6"/>
        <v>0</v>
      </c>
      <c r="S32" s="110">
        <f t="shared" si="7"/>
        <v>0</v>
      </c>
      <c r="T32" s="110">
        <f t="shared" si="8"/>
        <v>0</v>
      </c>
      <c r="U32" s="110">
        <f t="shared" si="9"/>
        <v>0</v>
      </c>
      <c r="V32" s="110">
        <f t="shared" si="10"/>
        <v>113526</v>
      </c>
      <c r="W32" s="110">
        <f t="shared" si="11"/>
        <v>0</v>
      </c>
      <c r="X32" s="110">
        <f>IF(L32="הפך להזמנה",(N32-#REF!),0)</f>
        <v>0</v>
      </c>
    </row>
    <row r="33" spans="1:24" ht="13.15" hidden="1">
      <c r="A33" s="70">
        <v>300010117</v>
      </c>
      <c r="B33" s="3" t="s">
        <v>387</v>
      </c>
      <c r="C33" s="135" t="str">
        <f t="shared" si="3"/>
        <v>300010117-אלוני ים בטחון - אפקון</v>
      </c>
      <c r="D33" s="137">
        <v>44980</v>
      </c>
      <c r="E33" s="137"/>
      <c r="F33" s="115" t="s">
        <v>188</v>
      </c>
      <c r="G33" s="114" t="s">
        <v>388</v>
      </c>
      <c r="H33" s="116" t="s">
        <v>389</v>
      </c>
      <c r="I33" s="117" t="s">
        <v>390</v>
      </c>
      <c r="J33" s="110" t="s">
        <v>139</v>
      </c>
      <c r="K33" s="110">
        <v>52000</v>
      </c>
      <c r="L33" s="110" t="s">
        <v>151</v>
      </c>
      <c r="M33" s="118"/>
      <c r="N33" s="110">
        <v>0</v>
      </c>
      <c r="O33" s="110">
        <f t="shared" si="4"/>
        <v>52000</v>
      </c>
      <c r="P33" s="110" t="s">
        <v>301</v>
      </c>
      <c r="Q33" s="110">
        <f t="shared" si="5"/>
        <v>0</v>
      </c>
      <c r="R33" s="110">
        <f t="shared" si="6"/>
        <v>0</v>
      </c>
      <c r="S33" s="110">
        <f t="shared" si="7"/>
        <v>0</v>
      </c>
      <c r="T33" s="110">
        <f t="shared" si="8"/>
        <v>0</v>
      </c>
      <c r="U33" s="110">
        <f t="shared" si="9"/>
        <v>52000</v>
      </c>
      <c r="V33" s="110">
        <f t="shared" si="10"/>
        <v>0</v>
      </c>
      <c r="W33" s="110">
        <f t="shared" si="11"/>
        <v>0</v>
      </c>
      <c r="X33" s="110">
        <f>IF(L33="הפך להזמנה",(N33-#REF!),0)</f>
        <v>0</v>
      </c>
    </row>
    <row r="34" spans="1:24" ht="13.15" hidden="1">
      <c r="A34" s="70">
        <v>300010119</v>
      </c>
      <c r="B34" s="3" t="s">
        <v>391</v>
      </c>
      <c r="C34" s="135" t="str">
        <f t="shared" si="3"/>
        <v>300010119-סולארידג' קמפוס</v>
      </c>
      <c r="D34" s="137">
        <v>45313</v>
      </c>
      <c r="E34" s="137"/>
      <c r="F34" s="115" t="s">
        <v>101</v>
      </c>
      <c r="G34" s="114" t="s">
        <v>392</v>
      </c>
      <c r="H34" s="116"/>
      <c r="I34" s="117"/>
      <c r="J34" s="110" t="s">
        <v>154</v>
      </c>
      <c r="K34" s="110">
        <v>143000</v>
      </c>
      <c r="L34" s="110" t="s">
        <v>297</v>
      </c>
      <c r="M34" s="118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</row>
    <row r="35" spans="1:24" ht="15.75" hidden="1" customHeight="1">
      <c r="A35" s="67">
        <v>300010397</v>
      </c>
      <c r="B35" s="3" t="s">
        <v>393</v>
      </c>
      <c r="C35" s="135" t="str">
        <f t="shared" si="3"/>
        <v>300010397-שוב אש שיבא</v>
      </c>
      <c r="D35" s="114">
        <v>45545</v>
      </c>
      <c r="E35" s="114"/>
      <c r="F35" s="115" t="s">
        <v>196</v>
      </c>
      <c r="G35" s="114" t="s">
        <v>332</v>
      </c>
      <c r="H35" s="116"/>
      <c r="I35" s="117"/>
      <c r="J35" s="110" t="s">
        <v>154</v>
      </c>
      <c r="K35" s="110">
        <v>1075000</v>
      </c>
      <c r="L35" s="110" t="s">
        <v>297</v>
      </c>
      <c r="M35" s="118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>
        <f>IF(L35="הפך להזמנה",(N35-#REF!),0)</f>
        <v>0</v>
      </c>
    </row>
    <row r="36" spans="1:24" ht="12.75" hidden="1" customHeight="1">
      <c r="A36" s="70">
        <v>300010129</v>
      </c>
      <c r="B36" s="3" t="s">
        <v>394</v>
      </c>
      <c r="C36" s="135" t="str">
        <f t="shared" si="3"/>
        <v>300010129-תמר 5 רחובות</v>
      </c>
      <c r="D36" s="137">
        <v>44999</v>
      </c>
      <c r="E36" s="137"/>
      <c r="F36" s="115" t="s">
        <v>107</v>
      </c>
      <c r="G36" s="141" t="s">
        <v>395</v>
      </c>
      <c r="H36" s="116"/>
      <c r="I36" s="117"/>
      <c r="J36" s="110" t="s">
        <v>102</v>
      </c>
      <c r="K36" s="110">
        <v>496000</v>
      </c>
      <c r="L36" s="110" t="s">
        <v>297</v>
      </c>
      <c r="M36" s="118" t="s">
        <v>396</v>
      </c>
      <c r="N36" s="110">
        <v>0</v>
      </c>
      <c r="O36" s="110">
        <f>K36-N36</f>
        <v>496000</v>
      </c>
      <c r="P36" s="110" t="s">
        <v>301</v>
      </c>
      <c r="Q36" s="110">
        <f>IF(L36="נתקבלה פנייה",K36,0)</f>
        <v>0</v>
      </c>
      <c r="R36" s="110">
        <f>IF(L36="יצאה הצעת מחיר",K36,0)</f>
        <v>0</v>
      </c>
      <c r="S36" s="110">
        <f>IF(L36="משא ומתן",K36,0)</f>
        <v>0</v>
      </c>
      <c r="T36" s="110">
        <f>IF(L36="ממתין להזמנה",K36,0)</f>
        <v>0</v>
      </c>
      <c r="U36" s="110">
        <f>IF(L36="התקבלה הזמנה",K36,0)</f>
        <v>0</v>
      </c>
      <c r="V36" s="110">
        <f>IF(L36="נפל",K36,0)</f>
        <v>496000</v>
      </c>
      <c r="W36" s="110">
        <f>IF(L36="הסתיים",K36,0)</f>
        <v>0</v>
      </c>
      <c r="X36" s="110">
        <f>IF(L36="הפך להזמנה",(N36-#REF!),0)</f>
        <v>0</v>
      </c>
    </row>
    <row r="37" spans="1:24" ht="13.15" hidden="1">
      <c r="A37" s="70">
        <v>300010132</v>
      </c>
      <c r="B37" s="3" t="s">
        <v>397</v>
      </c>
      <c r="C37" s="135" t="str">
        <f t="shared" si="3"/>
        <v>300010132-שוב אש התאחדות לכדורגל רמת גן</v>
      </c>
      <c r="D37" s="137">
        <v>45001</v>
      </c>
      <c r="E37" s="137" t="s">
        <v>337</v>
      </c>
      <c r="F37" s="114" t="s">
        <v>199</v>
      </c>
      <c r="G37" s="114" t="s">
        <v>398</v>
      </c>
      <c r="H37" s="116"/>
      <c r="I37" s="117"/>
      <c r="J37" s="110" t="s">
        <v>154</v>
      </c>
      <c r="K37" s="110">
        <v>38000</v>
      </c>
      <c r="L37" s="110" t="s">
        <v>297</v>
      </c>
      <c r="M37" s="118" t="s">
        <v>399</v>
      </c>
      <c r="N37" s="110">
        <v>0</v>
      </c>
      <c r="O37" s="110">
        <f>K37-N37</f>
        <v>38000</v>
      </c>
      <c r="P37" s="110" t="s">
        <v>301</v>
      </c>
      <c r="Q37" s="110">
        <f>IF(L37="נתקבלה פנייה",K37,0)</f>
        <v>0</v>
      </c>
      <c r="R37" s="110">
        <f>IF(L37="יצאה הצעת מחיר",K37,0)</f>
        <v>0</v>
      </c>
      <c r="S37" s="110">
        <f>IF(L37="משא ומתן",K37,0)</f>
        <v>0</v>
      </c>
      <c r="T37" s="110">
        <f>IF(L37="ממתין להזמנה",K37,0)</f>
        <v>0</v>
      </c>
      <c r="U37" s="110">
        <f>IF(L37="התקבלה הזמנה",K37,0)</f>
        <v>0</v>
      </c>
      <c r="V37" s="110">
        <f>IF(L37="נפל",K37,0)</f>
        <v>38000</v>
      </c>
      <c r="W37" s="110">
        <f>IF(L37="הסתיים",K37,0)</f>
        <v>0</v>
      </c>
      <c r="X37" s="110">
        <f>IF(L37="הפך להזמנה",(N37-#REF!),0)</f>
        <v>0</v>
      </c>
    </row>
    <row r="38" spans="1:24" ht="15.6" hidden="1">
      <c r="A38" s="70">
        <v>300010135</v>
      </c>
      <c r="B38" s="156" t="s">
        <v>400</v>
      </c>
      <c r="C38" s="135" t="str">
        <f t="shared" si="3"/>
        <v>300010135-אלביט מקדוניה</v>
      </c>
      <c r="D38" s="137">
        <v>45002</v>
      </c>
      <c r="E38" s="137"/>
      <c r="F38" s="114" t="s">
        <v>176</v>
      </c>
      <c r="G38" s="114" t="s">
        <v>401</v>
      </c>
      <c r="H38" s="116"/>
      <c r="I38" s="117"/>
      <c r="J38" s="110" t="s">
        <v>102</v>
      </c>
      <c r="K38" s="110">
        <v>2700000</v>
      </c>
      <c r="L38" s="110" t="s">
        <v>151</v>
      </c>
      <c r="M38" s="118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</row>
    <row r="39" spans="1:24" ht="12.75" hidden="1" customHeight="1">
      <c r="A39" s="70">
        <v>300010137</v>
      </c>
      <c r="B39" s="3" t="s">
        <v>402</v>
      </c>
      <c r="C39" s="135" t="str">
        <f t="shared" si="3"/>
        <v>300010137-תחנת כח רוטנברג שוב אש</v>
      </c>
      <c r="D39" s="137">
        <v>45005</v>
      </c>
      <c r="E39" s="137"/>
      <c r="F39" s="114" t="s">
        <v>101</v>
      </c>
      <c r="G39" s="114" t="s">
        <v>403</v>
      </c>
      <c r="H39" s="116"/>
      <c r="I39" s="117"/>
      <c r="J39" s="110" t="s">
        <v>154</v>
      </c>
      <c r="K39" s="110">
        <v>36000</v>
      </c>
      <c r="L39" s="110" t="s">
        <v>151</v>
      </c>
      <c r="M39" s="118"/>
      <c r="N39" s="110">
        <v>0</v>
      </c>
      <c r="O39" s="110">
        <f t="shared" ref="O39:O47" si="12">K39-N39</f>
        <v>36000</v>
      </c>
      <c r="P39" s="110" t="s">
        <v>301</v>
      </c>
      <c r="Q39" s="110">
        <f t="shared" ref="Q39:Q47" si="13">IF(L39="נתקבלה פנייה",K39,0)</f>
        <v>0</v>
      </c>
      <c r="R39" s="110">
        <f t="shared" ref="R39:R47" si="14">IF(L39="יצאה הצעת מחיר",K39,0)</f>
        <v>0</v>
      </c>
      <c r="S39" s="110">
        <f t="shared" ref="S39:S47" si="15">IF(L39="משא ומתן",K39,0)</f>
        <v>0</v>
      </c>
      <c r="T39" s="110">
        <f t="shared" ref="T39:T47" si="16">IF(L39="ממתין להזמנה",K39,0)</f>
        <v>0</v>
      </c>
      <c r="U39" s="110">
        <f t="shared" ref="U39:U47" si="17">IF(L39="התקבלה הזמנה",K39,0)</f>
        <v>36000</v>
      </c>
      <c r="V39" s="110">
        <f t="shared" ref="V39:V47" si="18">IF(L39="נפל",K39,0)</f>
        <v>0</v>
      </c>
      <c r="W39" s="110">
        <f t="shared" ref="W39:W47" si="19">IF(L39="הסתיים",K39,0)</f>
        <v>0</v>
      </c>
      <c r="X39" s="110">
        <f>IF(L39="הפך להזמנה",(N39-#REF!),0)</f>
        <v>0</v>
      </c>
    </row>
    <row r="40" spans="1:24" ht="12.75" hidden="1" customHeight="1">
      <c r="A40" s="70">
        <v>300010141</v>
      </c>
      <c r="B40" s="3" t="s">
        <v>404</v>
      </c>
      <c r="C40" s="135" t="str">
        <f t="shared" si="3"/>
        <v xml:space="preserve">300010141-בניין שיכון ובינוי </v>
      </c>
      <c r="D40" s="137">
        <v>45014</v>
      </c>
      <c r="E40" s="137"/>
      <c r="F40" s="115" t="s">
        <v>185</v>
      </c>
      <c r="G40" s="114" t="s">
        <v>405</v>
      </c>
      <c r="H40" s="116"/>
      <c r="I40" s="117"/>
      <c r="J40" s="110" t="s">
        <v>139</v>
      </c>
      <c r="K40" s="110">
        <v>77000</v>
      </c>
      <c r="L40" s="110" t="s">
        <v>297</v>
      </c>
      <c r="M40" s="118"/>
      <c r="N40" s="110">
        <v>0</v>
      </c>
      <c r="O40" s="110">
        <f t="shared" si="12"/>
        <v>77000</v>
      </c>
      <c r="P40" s="110" t="s">
        <v>301</v>
      </c>
      <c r="Q40" s="110">
        <f t="shared" si="13"/>
        <v>0</v>
      </c>
      <c r="R40" s="110">
        <f t="shared" si="14"/>
        <v>0</v>
      </c>
      <c r="S40" s="110">
        <f t="shared" si="15"/>
        <v>0</v>
      </c>
      <c r="T40" s="110">
        <f t="shared" si="16"/>
        <v>0</v>
      </c>
      <c r="U40" s="110">
        <f t="shared" si="17"/>
        <v>0</v>
      </c>
      <c r="V40" s="110">
        <f t="shared" si="18"/>
        <v>77000</v>
      </c>
      <c r="W40" s="110">
        <f t="shared" si="19"/>
        <v>0</v>
      </c>
      <c r="X40" s="110">
        <f>IF(L40="הפך להזמנה",(N40-#REF!),0)</f>
        <v>0</v>
      </c>
    </row>
    <row r="41" spans="1:24" ht="14.1" hidden="1" customHeight="1">
      <c r="A41" s="70">
        <v>300010142</v>
      </c>
      <c r="B41" s="3" t="s">
        <v>406</v>
      </c>
      <c r="C41" s="135" t="str">
        <f t="shared" si="3"/>
        <v>300010142-תוספת חדרים רשות הגירה</v>
      </c>
      <c r="D41" s="137">
        <v>45015</v>
      </c>
      <c r="E41" s="141" t="s">
        <v>337</v>
      </c>
      <c r="F41" s="115" t="s">
        <v>147</v>
      </c>
      <c r="G41" s="114" t="s">
        <v>334</v>
      </c>
      <c r="H41" s="116"/>
      <c r="I41" s="117"/>
      <c r="J41" s="110" t="s">
        <v>303</v>
      </c>
      <c r="K41" s="110">
        <v>22000</v>
      </c>
      <c r="L41" s="110" t="s">
        <v>151</v>
      </c>
      <c r="M41" s="118"/>
      <c r="N41" s="110">
        <v>0</v>
      </c>
      <c r="O41" s="110">
        <f t="shared" si="12"/>
        <v>22000</v>
      </c>
      <c r="P41" s="110" t="s">
        <v>301</v>
      </c>
      <c r="Q41" s="110">
        <f t="shared" si="13"/>
        <v>0</v>
      </c>
      <c r="R41" s="110">
        <f t="shared" si="14"/>
        <v>0</v>
      </c>
      <c r="S41" s="110">
        <f t="shared" si="15"/>
        <v>0</v>
      </c>
      <c r="T41" s="110">
        <f t="shared" si="16"/>
        <v>0</v>
      </c>
      <c r="U41" s="110">
        <f t="shared" si="17"/>
        <v>22000</v>
      </c>
      <c r="V41" s="110">
        <f t="shared" si="18"/>
        <v>0</v>
      </c>
      <c r="W41" s="110">
        <f t="shared" si="19"/>
        <v>0</v>
      </c>
      <c r="X41" s="110">
        <f>IF(L41="הפך להזמנה",(N41-#REF!),0)</f>
        <v>0</v>
      </c>
    </row>
    <row r="42" spans="1:24" ht="12.75" hidden="1" customHeight="1">
      <c r="A42" s="70">
        <v>300010144</v>
      </c>
      <c r="B42" s="3" t="s">
        <v>407</v>
      </c>
      <c r="C42" s="135" t="str">
        <f t="shared" si="3"/>
        <v>300010144-מוקד ביטחון בית חולים</v>
      </c>
      <c r="D42" s="137">
        <v>45015</v>
      </c>
      <c r="E42" s="137"/>
      <c r="F42" s="115" t="s">
        <v>266</v>
      </c>
      <c r="G42" s="114" t="s">
        <v>408</v>
      </c>
      <c r="H42" s="116" t="s">
        <v>409</v>
      </c>
      <c r="I42" s="117" t="s">
        <v>410</v>
      </c>
      <c r="J42" s="110" t="s">
        <v>139</v>
      </c>
      <c r="K42" s="110">
        <v>36000</v>
      </c>
      <c r="L42" s="110" t="s">
        <v>297</v>
      </c>
      <c r="M42" s="118" t="s">
        <v>411</v>
      </c>
      <c r="N42" s="110">
        <v>0</v>
      </c>
      <c r="O42" s="110">
        <f t="shared" si="12"/>
        <v>36000</v>
      </c>
      <c r="P42" s="110" t="s">
        <v>301</v>
      </c>
      <c r="Q42" s="110">
        <f t="shared" si="13"/>
        <v>0</v>
      </c>
      <c r="R42" s="110">
        <f t="shared" si="14"/>
        <v>0</v>
      </c>
      <c r="S42" s="110">
        <f t="shared" si="15"/>
        <v>0</v>
      </c>
      <c r="T42" s="110">
        <f t="shared" si="16"/>
        <v>0</v>
      </c>
      <c r="U42" s="110">
        <f t="shared" si="17"/>
        <v>0</v>
      </c>
      <c r="V42" s="110">
        <f t="shared" si="18"/>
        <v>36000</v>
      </c>
      <c r="W42" s="110">
        <f t="shared" si="19"/>
        <v>0</v>
      </c>
      <c r="X42" s="110">
        <f>IF(L42="הפך להזמנה",(N42-#REF!),0)</f>
        <v>0</v>
      </c>
    </row>
    <row r="43" spans="1:24" ht="14.1" hidden="1" customHeight="1">
      <c r="A43" s="70">
        <v>300010145</v>
      </c>
      <c r="B43" s="3" t="s">
        <v>412</v>
      </c>
      <c r="C43" s="135" t="str">
        <f t="shared" si="3"/>
        <v>300010145-הרחבה פרויקט איטליה</v>
      </c>
      <c r="D43" s="137">
        <v>45015</v>
      </c>
      <c r="E43" s="137" t="s">
        <v>413</v>
      </c>
      <c r="F43" s="115" t="s">
        <v>147</v>
      </c>
      <c r="G43" s="114" t="s">
        <v>334</v>
      </c>
      <c r="H43" s="116"/>
      <c r="I43" s="117"/>
      <c r="J43" s="110" t="s">
        <v>139</v>
      </c>
      <c r="K43" s="110">
        <v>60000</v>
      </c>
      <c r="L43" s="110" t="s">
        <v>297</v>
      </c>
      <c r="M43" s="118"/>
      <c r="N43" s="110">
        <v>0</v>
      </c>
      <c r="O43" s="110">
        <f t="shared" si="12"/>
        <v>60000</v>
      </c>
      <c r="P43" s="110" t="s">
        <v>301</v>
      </c>
      <c r="Q43" s="110">
        <f t="shared" si="13"/>
        <v>0</v>
      </c>
      <c r="R43" s="110">
        <f t="shared" si="14"/>
        <v>0</v>
      </c>
      <c r="S43" s="110">
        <f t="shared" si="15"/>
        <v>0</v>
      </c>
      <c r="T43" s="110">
        <f t="shared" si="16"/>
        <v>0</v>
      </c>
      <c r="U43" s="110">
        <f t="shared" si="17"/>
        <v>0</v>
      </c>
      <c r="V43" s="110">
        <f t="shared" si="18"/>
        <v>60000</v>
      </c>
      <c r="W43" s="110">
        <f t="shared" si="19"/>
        <v>0</v>
      </c>
      <c r="X43" s="110">
        <f>IF(L43="הפך להזמנה",(N43-#REF!),0)</f>
        <v>0</v>
      </c>
    </row>
    <row r="44" spans="1:24" ht="15.75" hidden="1" customHeight="1">
      <c r="A44" s="70">
        <v>300010148</v>
      </c>
      <c r="B44" s="3" t="s">
        <v>414</v>
      </c>
      <c r="C44" s="135" t="str">
        <f t="shared" si="3"/>
        <v>300010148-עוגן דרום</v>
      </c>
      <c r="D44" s="137">
        <v>45019</v>
      </c>
      <c r="E44" s="137"/>
      <c r="F44" s="115" t="s">
        <v>144</v>
      </c>
      <c r="G44" s="115" t="s">
        <v>415</v>
      </c>
      <c r="H44" s="142" t="s">
        <v>416</v>
      </c>
      <c r="I44" s="117" t="s">
        <v>417</v>
      </c>
      <c r="J44" s="110" t="s">
        <v>139</v>
      </c>
      <c r="K44" s="110">
        <v>91000</v>
      </c>
      <c r="L44" s="110" t="s">
        <v>297</v>
      </c>
      <c r="M44" s="118" t="s">
        <v>418</v>
      </c>
      <c r="N44" s="110">
        <v>0</v>
      </c>
      <c r="O44" s="110">
        <f t="shared" si="12"/>
        <v>91000</v>
      </c>
      <c r="P44" s="110" t="s">
        <v>301</v>
      </c>
      <c r="Q44" s="110">
        <f t="shared" si="13"/>
        <v>0</v>
      </c>
      <c r="R44" s="110">
        <f t="shared" si="14"/>
        <v>0</v>
      </c>
      <c r="S44" s="110">
        <f t="shared" si="15"/>
        <v>0</v>
      </c>
      <c r="T44" s="110">
        <f t="shared" si="16"/>
        <v>0</v>
      </c>
      <c r="U44" s="110">
        <f t="shared" si="17"/>
        <v>0</v>
      </c>
      <c r="V44" s="110">
        <f t="shared" si="18"/>
        <v>91000</v>
      </c>
      <c r="W44" s="110">
        <f t="shared" si="19"/>
        <v>0</v>
      </c>
      <c r="X44" s="110">
        <f>IF(L44="הפך להזמנה",(N44-#REF!),0)</f>
        <v>0</v>
      </c>
    </row>
    <row r="45" spans="1:24" ht="12.75" hidden="1" customHeight="1">
      <c r="A45" s="70">
        <v>300010151</v>
      </c>
      <c r="B45" s="3" t="s">
        <v>419</v>
      </c>
      <c r="C45" s="135" t="str">
        <f t="shared" si="3"/>
        <v>300010151-בקרת מבנה בניין מוטורולה</v>
      </c>
      <c r="D45" s="137">
        <v>45032</v>
      </c>
      <c r="E45" s="137" t="s">
        <v>337</v>
      </c>
      <c r="F45" s="114" t="s">
        <v>207</v>
      </c>
      <c r="G45" s="114" t="s">
        <v>338</v>
      </c>
      <c r="H45" s="116"/>
      <c r="I45" s="117"/>
      <c r="J45" s="110" t="s">
        <v>102</v>
      </c>
      <c r="K45" s="110">
        <v>283000</v>
      </c>
      <c r="L45" s="110" t="s">
        <v>297</v>
      </c>
      <c r="M45" s="118" t="s">
        <v>420</v>
      </c>
      <c r="N45" s="110">
        <v>0</v>
      </c>
      <c r="O45" s="110">
        <f t="shared" si="12"/>
        <v>283000</v>
      </c>
      <c r="P45" s="110" t="s">
        <v>301</v>
      </c>
      <c r="Q45" s="110">
        <f t="shared" si="13"/>
        <v>0</v>
      </c>
      <c r="R45" s="110">
        <f t="shared" si="14"/>
        <v>0</v>
      </c>
      <c r="S45" s="110">
        <f t="shared" si="15"/>
        <v>0</v>
      </c>
      <c r="T45" s="110">
        <f t="shared" si="16"/>
        <v>0</v>
      </c>
      <c r="U45" s="110">
        <f t="shared" si="17"/>
        <v>0</v>
      </c>
      <c r="V45" s="110">
        <f t="shared" si="18"/>
        <v>283000</v>
      </c>
      <c r="W45" s="110">
        <f t="shared" si="19"/>
        <v>0</v>
      </c>
      <c r="X45" s="110">
        <f>IF(L45="הפך להזמנה",(N45-#REF!),0)</f>
        <v>0</v>
      </c>
    </row>
    <row r="46" spans="1:24" ht="12.75" hidden="1" customHeight="1">
      <c r="A46" s="70">
        <v>300010156</v>
      </c>
      <c r="B46" s="3" t="s">
        <v>421</v>
      </c>
      <c r="C46" s="135" t="str">
        <f t="shared" si="3"/>
        <v>300010156-מערכת שוב בנק מזרחי</v>
      </c>
      <c r="D46" s="137">
        <v>45045</v>
      </c>
      <c r="E46" s="137"/>
      <c r="F46" s="115" t="s">
        <v>144</v>
      </c>
      <c r="G46" s="114" t="s">
        <v>318</v>
      </c>
      <c r="H46" s="116"/>
      <c r="I46" s="117"/>
      <c r="J46" s="110" t="s">
        <v>139</v>
      </c>
      <c r="K46" s="110">
        <v>198000</v>
      </c>
      <c r="L46" s="110" t="s">
        <v>297</v>
      </c>
      <c r="M46" s="118" t="s">
        <v>422</v>
      </c>
      <c r="N46" s="110">
        <v>0</v>
      </c>
      <c r="O46" s="110">
        <f t="shared" si="12"/>
        <v>198000</v>
      </c>
      <c r="P46" s="110" t="s">
        <v>301</v>
      </c>
      <c r="Q46" s="110">
        <f t="shared" si="13"/>
        <v>0</v>
      </c>
      <c r="R46" s="110">
        <f t="shared" si="14"/>
        <v>0</v>
      </c>
      <c r="S46" s="110">
        <f t="shared" si="15"/>
        <v>0</v>
      </c>
      <c r="T46" s="110">
        <f t="shared" si="16"/>
        <v>0</v>
      </c>
      <c r="U46" s="110">
        <f t="shared" si="17"/>
        <v>0</v>
      </c>
      <c r="V46" s="110">
        <f t="shared" si="18"/>
        <v>198000</v>
      </c>
      <c r="W46" s="110">
        <f t="shared" si="19"/>
        <v>0</v>
      </c>
      <c r="X46" s="110">
        <f>IF(L46="הפך להזמנה",(N46-#REF!),0)</f>
        <v>0</v>
      </c>
    </row>
    <row r="47" spans="1:24" ht="11.25" hidden="1" customHeight="1">
      <c r="A47" s="70">
        <v>300010127</v>
      </c>
      <c r="B47" s="3" t="s">
        <v>423</v>
      </c>
      <c r="C47" s="135" t="str">
        <f t="shared" si="3"/>
        <v>300010127-שוב גדר אלפאר גרסה 3</v>
      </c>
      <c r="D47" s="137">
        <v>44997</v>
      </c>
      <c r="E47" s="137"/>
      <c r="F47" s="115" t="s">
        <v>185</v>
      </c>
      <c r="G47" s="114" t="s">
        <v>424</v>
      </c>
      <c r="H47" s="116"/>
      <c r="I47" s="117"/>
      <c r="J47" s="110" t="s">
        <v>139</v>
      </c>
      <c r="K47" s="110">
        <v>86000</v>
      </c>
      <c r="L47" s="110" t="s">
        <v>297</v>
      </c>
      <c r="M47" s="118"/>
      <c r="N47" s="110">
        <v>0</v>
      </c>
      <c r="O47" s="110">
        <f t="shared" si="12"/>
        <v>86000</v>
      </c>
      <c r="P47" s="110" t="s">
        <v>301</v>
      </c>
      <c r="Q47" s="110">
        <f t="shared" si="13"/>
        <v>0</v>
      </c>
      <c r="R47" s="110">
        <f t="shared" si="14"/>
        <v>0</v>
      </c>
      <c r="S47" s="110">
        <f t="shared" si="15"/>
        <v>0</v>
      </c>
      <c r="T47" s="110">
        <f t="shared" si="16"/>
        <v>0</v>
      </c>
      <c r="U47" s="110">
        <f t="shared" si="17"/>
        <v>0</v>
      </c>
      <c r="V47" s="110">
        <f t="shared" si="18"/>
        <v>86000</v>
      </c>
      <c r="W47" s="110">
        <f t="shared" si="19"/>
        <v>0</v>
      </c>
      <c r="X47" s="110">
        <f>IF(L47="הפך להזמנה",(N47-#REF!),0)</f>
        <v>0</v>
      </c>
    </row>
    <row r="48" spans="1:24" ht="12.75" hidden="1" customHeight="1">
      <c r="A48" s="265">
        <v>300010227</v>
      </c>
      <c r="B48" s="3" t="s">
        <v>425</v>
      </c>
      <c r="C48" s="135" t="str">
        <f t="shared" si="3"/>
        <v>300010227-אלא - אור יהודה</v>
      </c>
      <c r="D48" s="114">
        <v>45158</v>
      </c>
      <c r="E48" s="114"/>
      <c r="F48" s="115" t="s">
        <v>107</v>
      </c>
      <c r="G48" s="114" t="s">
        <v>426</v>
      </c>
      <c r="H48" s="116"/>
      <c r="I48" s="117"/>
      <c r="J48" s="110" t="s">
        <v>102</v>
      </c>
      <c r="K48" s="110">
        <v>500000</v>
      </c>
      <c r="L48" s="110" t="s">
        <v>297</v>
      </c>
      <c r="M48" s="118" t="s">
        <v>427</v>
      </c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>
        <f>IF(L48="הפך להזמנה",(N48-#REF!),0)</f>
        <v>0</v>
      </c>
    </row>
    <row r="49" spans="1:24" ht="12.75" hidden="1" customHeight="1">
      <c r="A49" s="70">
        <v>300010161</v>
      </c>
      <c r="B49" s="3" t="s">
        <v>428</v>
      </c>
      <c r="C49" s="135" t="str">
        <f t="shared" si="3"/>
        <v>300010161-BMS רכבת ישראל תחנות לוד</v>
      </c>
      <c r="D49" s="137">
        <v>45046</v>
      </c>
      <c r="E49" s="137"/>
      <c r="F49" s="115" t="s">
        <v>107</v>
      </c>
      <c r="G49" s="114" t="s">
        <v>429</v>
      </c>
      <c r="H49" s="116"/>
      <c r="I49" s="117"/>
      <c r="J49" s="110" t="s">
        <v>102</v>
      </c>
      <c r="K49" s="110">
        <v>540000</v>
      </c>
      <c r="L49" s="110" t="s">
        <v>151</v>
      </c>
      <c r="M49" s="118" t="s">
        <v>430</v>
      </c>
      <c r="N49" s="110">
        <v>0</v>
      </c>
      <c r="O49" s="110">
        <f t="shared" ref="O49:O57" si="20">K49-N49</f>
        <v>540000</v>
      </c>
      <c r="P49" s="110" t="s">
        <v>301</v>
      </c>
      <c r="Q49" s="110">
        <f t="shared" ref="Q49:Q57" si="21">IF(L49="נתקבלה פנייה",K49,0)</f>
        <v>0</v>
      </c>
      <c r="R49" s="110">
        <f t="shared" ref="R49:R57" si="22">IF(L49="יצאה הצעת מחיר",K49,0)</f>
        <v>0</v>
      </c>
      <c r="S49" s="110">
        <f t="shared" ref="S49:S57" si="23">IF(L49="משא ומתן",K49,0)</f>
        <v>0</v>
      </c>
      <c r="T49" s="110">
        <f t="shared" ref="T49:T57" si="24">IF(L49="ממתין להזמנה",K49,0)</f>
        <v>0</v>
      </c>
      <c r="U49" s="110">
        <f t="shared" ref="U49:U57" si="25">IF(L49="התקבלה הזמנה",K49,0)</f>
        <v>540000</v>
      </c>
      <c r="V49" s="110">
        <f t="shared" ref="V49:V57" si="26">IF(L49="נפל",K49,0)</f>
        <v>0</v>
      </c>
      <c r="W49" s="110">
        <f t="shared" ref="W49:W57" si="27">IF(L49="הסתיים",K49,0)</f>
        <v>0</v>
      </c>
      <c r="X49" s="110">
        <f>IF(L49="הפך להזמנה",(N49-#REF!),0)</f>
        <v>0</v>
      </c>
    </row>
    <row r="50" spans="1:24" ht="13.15" hidden="1">
      <c r="A50" s="70">
        <v>300010164</v>
      </c>
      <c r="B50" s="3" t="s">
        <v>431</v>
      </c>
      <c r="C50" s="135" t="str">
        <f t="shared" ref="C50:C81" si="28">A50&amp;"-"&amp;B50</f>
        <v>300010164-שטח 70 ארווירונאוטיקס</v>
      </c>
      <c r="D50" s="137">
        <v>45050</v>
      </c>
      <c r="E50" s="137"/>
      <c r="F50" s="114" t="s">
        <v>199</v>
      </c>
      <c r="G50" s="114" t="s">
        <v>432</v>
      </c>
      <c r="H50" s="116"/>
      <c r="I50" s="117"/>
      <c r="J50" s="110" t="s">
        <v>102</v>
      </c>
      <c r="K50" s="110">
        <v>550000</v>
      </c>
      <c r="L50" s="110" t="s">
        <v>297</v>
      </c>
      <c r="M50" s="118" t="s">
        <v>433</v>
      </c>
      <c r="N50" s="110">
        <v>0</v>
      </c>
      <c r="O50" s="110">
        <f t="shared" si="20"/>
        <v>550000</v>
      </c>
      <c r="P50" s="110" t="s">
        <v>301</v>
      </c>
      <c r="Q50" s="110">
        <f t="shared" si="21"/>
        <v>0</v>
      </c>
      <c r="R50" s="110">
        <f t="shared" si="22"/>
        <v>0</v>
      </c>
      <c r="S50" s="110">
        <f t="shared" si="23"/>
        <v>0</v>
      </c>
      <c r="T50" s="110">
        <f t="shared" si="24"/>
        <v>0</v>
      </c>
      <c r="U50" s="110">
        <f t="shared" si="25"/>
        <v>0</v>
      </c>
      <c r="V50" s="110">
        <f t="shared" si="26"/>
        <v>550000</v>
      </c>
      <c r="W50" s="110">
        <f t="shared" si="27"/>
        <v>0</v>
      </c>
      <c r="X50" s="110">
        <f>IF(L50="הפך להזמנה",(N50-#REF!),0)</f>
        <v>0</v>
      </c>
    </row>
    <row r="51" spans="1:24" ht="12.75" hidden="1" customHeight="1">
      <c r="A51" s="70">
        <v>300010165</v>
      </c>
      <c r="B51" s="3" t="s">
        <v>434</v>
      </c>
      <c r="C51" s="135" t="str">
        <f t="shared" si="28"/>
        <v>300010165-פרוייקט מפעלי חמצן</v>
      </c>
      <c r="D51" s="137">
        <v>45050</v>
      </c>
      <c r="E51" s="137"/>
      <c r="F51" s="115" t="s">
        <v>107</v>
      </c>
      <c r="G51" s="114" t="s">
        <v>435</v>
      </c>
      <c r="H51" s="116"/>
      <c r="I51" s="117"/>
      <c r="J51" s="110" t="s">
        <v>102</v>
      </c>
      <c r="K51" s="110">
        <v>200000</v>
      </c>
      <c r="L51" s="110" t="s">
        <v>297</v>
      </c>
      <c r="M51" s="118" t="s">
        <v>436</v>
      </c>
      <c r="N51" s="110">
        <v>0</v>
      </c>
      <c r="O51" s="110">
        <f t="shared" si="20"/>
        <v>200000</v>
      </c>
      <c r="P51" s="110" t="s">
        <v>301</v>
      </c>
      <c r="Q51" s="110">
        <f t="shared" si="21"/>
        <v>0</v>
      </c>
      <c r="R51" s="110">
        <f t="shared" si="22"/>
        <v>0</v>
      </c>
      <c r="S51" s="110">
        <f t="shared" si="23"/>
        <v>0</v>
      </c>
      <c r="T51" s="110">
        <f t="shared" si="24"/>
        <v>0</v>
      </c>
      <c r="U51" s="110">
        <f t="shared" si="25"/>
        <v>0</v>
      </c>
      <c r="V51" s="110">
        <f t="shared" si="26"/>
        <v>200000</v>
      </c>
      <c r="W51" s="110">
        <f t="shared" si="27"/>
        <v>0</v>
      </c>
      <c r="X51" s="110">
        <f>IF(L51="הפך להזמנה",(N51-#REF!),0)</f>
        <v>0</v>
      </c>
    </row>
    <row r="52" spans="1:24" ht="12.75" hidden="1" customHeight="1">
      <c r="A52" s="70">
        <v>300010166</v>
      </c>
      <c r="B52" s="3" t="s">
        <v>437</v>
      </c>
      <c r="C52" s="135" t="str">
        <f t="shared" si="28"/>
        <v>300010166- פארק TLV</v>
      </c>
      <c r="D52" s="137">
        <v>45050</v>
      </c>
      <c r="E52" s="137"/>
      <c r="F52" s="115" t="s">
        <v>107</v>
      </c>
      <c r="G52" s="114" t="s">
        <v>435</v>
      </c>
      <c r="H52" s="116"/>
      <c r="I52" s="117"/>
      <c r="J52" s="110" t="s">
        <v>102</v>
      </c>
      <c r="K52" s="110">
        <v>200000</v>
      </c>
      <c r="L52" s="110" t="s">
        <v>297</v>
      </c>
      <c r="M52" s="118" t="s">
        <v>438</v>
      </c>
      <c r="N52" s="110">
        <v>0</v>
      </c>
      <c r="O52" s="110">
        <f t="shared" si="20"/>
        <v>200000</v>
      </c>
      <c r="P52" s="110" t="s">
        <v>301</v>
      </c>
      <c r="Q52" s="110">
        <f t="shared" si="21"/>
        <v>0</v>
      </c>
      <c r="R52" s="110">
        <f t="shared" si="22"/>
        <v>0</v>
      </c>
      <c r="S52" s="110">
        <f t="shared" si="23"/>
        <v>0</v>
      </c>
      <c r="T52" s="110">
        <f t="shared" si="24"/>
        <v>0</v>
      </c>
      <c r="U52" s="110">
        <f t="shared" si="25"/>
        <v>0</v>
      </c>
      <c r="V52" s="110">
        <f t="shared" si="26"/>
        <v>200000</v>
      </c>
      <c r="W52" s="110">
        <f t="shared" si="27"/>
        <v>0</v>
      </c>
      <c r="X52" s="110">
        <f>IF(L52="הפך להזמנה",(N52-#REF!),0)</f>
        <v>0</v>
      </c>
    </row>
    <row r="53" spans="1:24" ht="12.75" hidden="1" customHeight="1">
      <c r="A53" s="70">
        <v>300010167</v>
      </c>
      <c r="B53" s="3" t="s">
        <v>439</v>
      </c>
      <c r="C53" s="135" t="str">
        <f t="shared" si="28"/>
        <v>300010167-רכבת קלה נופית</v>
      </c>
      <c r="D53" s="137">
        <v>45051</v>
      </c>
      <c r="E53" s="137"/>
      <c r="F53" s="115" t="s">
        <v>274</v>
      </c>
      <c r="G53" s="114" t="s">
        <v>440</v>
      </c>
      <c r="H53" s="116"/>
      <c r="I53" s="117"/>
      <c r="J53" s="110" t="s">
        <v>139</v>
      </c>
      <c r="K53" s="110">
        <v>3634000</v>
      </c>
      <c r="L53" s="110" t="s">
        <v>151</v>
      </c>
      <c r="M53" s="118" t="s">
        <v>441</v>
      </c>
      <c r="N53" s="110">
        <v>0</v>
      </c>
      <c r="O53" s="110">
        <f t="shared" si="20"/>
        <v>3634000</v>
      </c>
      <c r="P53" s="110" t="s">
        <v>301</v>
      </c>
      <c r="Q53" s="110">
        <f t="shared" si="21"/>
        <v>0</v>
      </c>
      <c r="R53" s="110">
        <f t="shared" si="22"/>
        <v>0</v>
      </c>
      <c r="S53" s="110">
        <f t="shared" si="23"/>
        <v>0</v>
      </c>
      <c r="T53" s="110">
        <f t="shared" si="24"/>
        <v>0</v>
      </c>
      <c r="U53" s="110">
        <f t="shared" si="25"/>
        <v>3634000</v>
      </c>
      <c r="V53" s="110">
        <f t="shared" si="26"/>
        <v>0</v>
      </c>
      <c r="W53" s="110">
        <f t="shared" si="27"/>
        <v>0</v>
      </c>
      <c r="X53" s="110">
        <f>IF(L53="הפך להזמנה",(N53-#REF!),0)</f>
        <v>0</v>
      </c>
    </row>
    <row r="54" spans="1:24" ht="12.75" hidden="1" customHeight="1">
      <c r="A54" s="70">
        <v>300010168</v>
      </c>
      <c r="B54" s="3" t="s">
        <v>442</v>
      </c>
      <c r="C54" s="135" t="str">
        <f t="shared" si="28"/>
        <v>300010168-מקווה ישראל שוב</v>
      </c>
      <c r="D54" s="137">
        <v>45051</v>
      </c>
      <c r="E54" s="137"/>
      <c r="F54" s="115" t="s">
        <v>188</v>
      </c>
      <c r="G54" s="114"/>
      <c r="H54" s="116"/>
      <c r="I54" s="117"/>
      <c r="J54" s="110" t="s">
        <v>139</v>
      </c>
      <c r="K54" s="110">
        <v>22000</v>
      </c>
      <c r="L54" s="110" t="s">
        <v>297</v>
      </c>
      <c r="M54" s="118"/>
      <c r="N54" s="110">
        <v>0</v>
      </c>
      <c r="O54" s="110">
        <f t="shared" si="20"/>
        <v>22000</v>
      </c>
      <c r="P54" s="110" t="s">
        <v>301</v>
      </c>
      <c r="Q54" s="110">
        <f t="shared" si="21"/>
        <v>0</v>
      </c>
      <c r="R54" s="110">
        <f t="shared" si="22"/>
        <v>0</v>
      </c>
      <c r="S54" s="110">
        <f t="shared" si="23"/>
        <v>0</v>
      </c>
      <c r="T54" s="110">
        <f t="shared" si="24"/>
        <v>0</v>
      </c>
      <c r="U54" s="110">
        <f t="shared" si="25"/>
        <v>0</v>
      </c>
      <c r="V54" s="110">
        <f t="shared" si="26"/>
        <v>22000</v>
      </c>
      <c r="W54" s="110">
        <f t="shared" si="27"/>
        <v>0</v>
      </c>
      <c r="X54" s="110">
        <f>IF(L54="הפך להזמנה",(N54-#REF!),0)</f>
        <v>0</v>
      </c>
    </row>
    <row r="55" spans="1:24" ht="13.15" hidden="1">
      <c r="A55" s="70">
        <v>300010172</v>
      </c>
      <c r="B55" s="3" t="s">
        <v>443</v>
      </c>
      <c r="C55" s="135" t="str">
        <f t="shared" si="28"/>
        <v>300010172-מערכת שוב lascom</v>
      </c>
      <c r="D55" s="141" t="s">
        <v>444</v>
      </c>
      <c r="E55" s="141"/>
      <c r="F55" s="143" t="s">
        <v>107</v>
      </c>
      <c r="G55" s="141" t="s">
        <v>445</v>
      </c>
      <c r="H55" s="116"/>
      <c r="I55" s="117"/>
      <c r="J55" s="110" t="s">
        <v>139</v>
      </c>
      <c r="K55" s="110">
        <v>40000</v>
      </c>
      <c r="L55" s="110" t="s">
        <v>297</v>
      </c>
      <c r="M55" s="118"/>
      <c r="N55" s="110">
        <v>0</v>
      </c>
      <c r="O55" s="110">
        <f t="shared" si="20"/>
        <v>40000</v>
      </c>
      <c r="P55" s="110" t="s">
        <v>301</v>
      </c>
      <c r="Q55" s="110">
        <f t="shared" si="21"/>
        <v>0</v>
      </c>
      <c r="R55" s="110">
        <f t="shared" si="22"/>
        <v>0</v>
      </c>
      <c r="S55" s="110">
        <f t="shared" si="23"/>
        <v>0</v>
      </c>
      <c r="T55" s="110">
        <f t="shared" si="24"/>
        <v>0</v>
      </c>
      <c r="U55" s="110">
        <f t="shared" si="25"/>
        <v>0</v>
      </c>
      <c r="V55" s="110">
        <f t="shared" si="26"/>
        <v>40000</v>
      </c>
      <c r="W55" s="110">
        <f t="shared" si="27"/>
        <v>0</v>
      </c>
      <c r="X55" s="110">
        <f>IF(L55="הפך להזמנה",(N55-#REF!),0)</f>
        <v>0</v>
      </c>
    </row>
    <row r="56" spans="1:24" ht="14.25" hidden="1" customHeight="1">
      <c r="A56" s="70">
        <v>300010178</v>
      </c>
      <c r="B56" s="3" t="s">
        <v>446</v>
      </c>
      <c r="C56" s="135" t="str">
        <f t="shared" si="28"/>
        <v>300010178-סולאר אידג' - מוקד מרכזי</v>
      </c>
      <c r="D56" s="137">
        <v>45078</v>
      </c>
      <c r="E56" s="137"/>
      <c r="F56" s="115" t="s">
        <v>147</v>
      </c>
      <c r="G56" s="114"/>
      <c r="H56" s="116"/>
      <c r="I56" s="117"/>
      <c r="J56" s="110" t="s">
        <v>139</v>
      </c>
      <c r="K56" s="110">
        <v>800000</v>
      </c>
      <c r="L56" s="110" t="s">
        <v>297</v>
      </c>
      <c r="M56" s="118" t="s">
        <v>447</v>
      </c>
      <c r="N56" s="110">
        <v>0</v>
      </c>
      <c r="O56" s="110">
        <f t="shared" si="20"/>
        <v>800000</v>
      </c>
      <c r="P56" s="110" t="s">
        <v>301</v>
      </c>
      <c r="Q56" s="110">
        <f t="shared" si="21"/>
        <v>0</v>
      </c>
      <c r="R56" s="110">
        <f t="shared" si="22"/>
        <v>0</v>
      </c>
      <c r="S56" s="110">
        <f t="shared" si="23"/>
        <v>0</v>
      </c>
      <c r="T56" s="110">
        <f t="shared" si="24"/>
        <v>0</v>
      </c>
      <c r="U56" s="110">
        <f t="shared" si="25"/>
        <v>0</v>
      </c>
      <c r="V56" s="110">
        <f t="shared" si="26"/>
        <v>800000</v>
      </c>
      <c r="W56" s="110">
        <f t="shared" si="27"/>
        <v>0</v>
      </c>
      <c r="X56" s="110">
        <f>IF(L56="הפך להזמנה",(N56-#REF!),0)</f>
        <v>0</v>
      </c>
    </row>
    <row r="57" spans="1:24" ht="12.75" hidden="1" customHeight="1">
      <c r="A57" s="70">
        <v>300010179</v>
      </c>
      <c r="B57" s="3" t="s">
        <v>448</v>
      </c>
      <c r="C57" s="135" t="str">
        <f t="shared" si="28"/>
        <v>300010179-רובנשטיין - רטרופיט</v>
      </c>
      <c r="D57" s="137">
        <v>45078</v>
      </c>
      <c r="E57" s="137"/>
      <c r="F57" s="115" t="s">
        <v>107</v>
      </c>
      <c r="G57" s="114" t="s">
        <v>449</v>
      </c>
      <c r="H57" s="116"/>
      <c r="I57" s="117"/>
      <c r="J57" s="110" t="s">
        <v>102</v>
      </c>
      <c r="K57" s="110">
        <v>300000</v>
      </c>
      <c r="L57" s="110" t="s">
        <v>297</v>
      </c>
      <c r="M57" s="118" t="s">
        <v>450</v>
      </c>
      <c r="N57" s="110">
        <v>0</v>
      </c>
      <c r="O57" s="110">
        <f t="shared" si="20"/>
        <v>300000</v>
      </c>
      <c r="P57" s="110" t="s">
        <v>301</v>
      </c>
      <c r="Q57" s="110">
        <f t="shared" si="21"/>
        <v>0</v>
      </c>
      <c r="R57" s="110">
        <f t="shared" si="22"/>
        <v>0</v>
      </c>
      <c r="S57" s="110">
        <f t="shared" si="23"/>
        <v>0</v>
      </c>
      <c r="T57" s="110">
        <f t="shared" si="24"/>
        <v>0</v>
      </c>
      <c r="U57" s="110">
        <f t="shared" si="25"/>
        <v>0</v>
      </c>
      <c r="V57" s="110">
        <f t="shared" si="26"/>
        <v>300000</v>
      </c>
      <c r="W57" s="110">
        <f t="shared" si="27"/>
        <v>0</v>
      </c>
      <c r="X57" s="110">
        <f>IF(L57="הפך להזמנה",(N57-#REF!),0)</f>
        <v>0</v>
      </c>
    </row>
    <row r="58" spans="1:24" ht="12.75" hidden="1" customHeight="1">
      <c r="A58" s="70">
        <v>300010180</v>
      </c>
      <c r="B58" s="3" t="s">
        <v>451</v>
      </c>
      <c r="C58" s="135" t="str">
        <f t="shared" si="28"/>
        <v>300010180-מגדלי BBC</v>
      </c>
      <c r="D58" s="137">
        <v>45079</v>
      </c>
      <c r="E58" s="137"/>
      <c r="F58" s="115" t="s">
        <v>107</v>
      </c>
      <c r="G58" s="114" t="s">
        <v>452</v>
      </c>
      <c r="H58" s="116"/>
      <c r="I58" s="117"/>
      <c r="J58" s="110" t="s">
        <v>108</v>
      </c>
      <c r="K58" s="110">
        <v>280000</v>
      </c>
      <c r="L58" s="110" t="s">
        <v>151</v>
      </c>
      <c r="M58" s="118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</row>
    <row r="59" spans="1:24" ht="26.45" hidden="1">
      <c r="A59" s="70">
        <v>300010186</v>
      </c>
      <c r="B59" s="3" t="s">
        <v>453</v>
      </c>
      <c r="C59" s="135" t="str">
        <f t="shared" si="28"/>
        <v>300010186-בית איילון</v>
      </c>
      <c r="D59" s="114">
        <v>45073</v>
      </c>
      <c r="E59" s="114"/>
      <c r="F59" s="115" t="s">
        <v>196</v>
      </c>
      <c r="G59" s="114" t="s">
        <v>332</v>
      </c>
      <c r="H59" s="116"/>
      <c r="I59" s="117"/>
      <c r="J59" s="110" t="s">
        <v>102</v>
      </c>
      <c r="K59" s="110">
        <v>600000</v>
      </c>
      <c r="L59" s="110" t="s">
        <v>297</v>
      </c>
      <c r="M59" s="118" t="s">
        <v>454</v>
      </c>
      <c r="N59" s="110">
        <v>0</v>
      </c>
      <c r="O59" s="110">
        <f>K59-N59</f>
        <v>600000</v>
      </c>
      <c r="P59" s="110" t="s">
        <v>301</v>
      </c>
      <c r="Q59" s="110">
        <f>IF(L59="נתקבלה פנייה",K59,0)</f>
        <v>0</v>
      </c>
      <c r="R59" s="110">
        <f>IF(L59="יצאה הצעת מחיר",K59,0)</f>
        <v>0</v>
      </c>
      <c r="S59" s="110">
        <f>IF(L59="משא ומתן",K59,0)</f>
        <v>0</v>
      </c>
      <c r="T59" s="110">
        <f>IF(L59="ממתין להזמנה",K59,0)</f>
        <v>0</v>
      </c>
      <c r="U59" s="110">
        <f>IF(L59="התקבלה הזמנה",K59,0)</f>
        <v>0</v>
      </c>
      <c r="V59" s="110">
        <f>IF(L59="נפל",K59,0)</f>
        <v>600000</v>
      </c>
      <c r="W59" s="110">
        <f>IF(L59="הסתיים",K59,0)</f>
        <v>0</v>
      </c>
      <c r="X59" s="110">
        <f>IF(L59="הפך להזמנה",(N59-#REF!),0)</f>
        <v>0</v>
      </c>
    </row>
    <row r="60" spans="1:24" ht="13.15" hidden="1">
      <c r="A60" s="70">
        <v>300010187</v>
      </c>
      <c r="B60" s="3" t="s">
        <v>455</v>
      </c>
      <c r="C60" s="135" t="str">
        <f t="shared" si="28"/>
        <v>300010187-SOUTHGATE הרצליה פרשקובסקי</v>
      </c>
      <c r="D60" s="114">
        <v>45383</v>
      </c>
      <c r="E60" s="114"/>
      <c r="F60" s="115" t="s">
        <v>199</v>
      </c>
      <c r="G60" s="114" t="s">
        <v>456</v>
      </c>
      <c r="H60" s="116"/>
      <c r="I60" s="117"/>
      <c r="J60" s="110" t="s">
        <v>102</v>
      </c>
      <c r="K60" s="110">
        <v>1750000</v>
      </c>
      <c r="L60" s="110" t="s">
        <v>297</v>
      </c>
      <c r="M60" s="118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</row>
    <row r="61" spans="1:24" ht="26.45" hidden="1">
      <c r="A61" s="67">
        <v>300010188</v>
      </c>
      <c r="B61" s="5" t="s">
        <v>457</v>
      </c>
      <c r="C61" s="144" t="str">
        <f t="shared" si="28"/>
        <v>300010188- מכרז מבנה מדעי המחשב אוניברסיטת באר שבע</v>
      </c>
      <c r="D61" s="139">
        <v>45074</v>
      </c>
      <c r="E61" s="114"/>
      <c r="F61" s="138" t="s">
        <v>101</v>
      </c>
      <c r="G61" s="139" t="s">
        <v>458</v>
      </c>
      <c r="H61" s="116"/>
      <c r="I61" s="117"/>
      <c r="J61" s="111" t="s">
        <v>102</v>
      </c>
      <c r="K61" s="110">
        <v>47000</v>
      </c>
      <c r="L61" s="111" t="s">
        <v>297</v>
      </c>
      <c r="M61" s="140" t="s">
        <v>459</v>
      </c>
      <c r="N61" s="110">
        <v>0</v>
      </c>
      <c r="O61" s="110">
        <f>K61-N61</f>
        <v>47000</v>
      </c>
      <c r="P61" s="110" t="s">
        <v>301</v>
      </c>
      <c r="Q61" s="110">
        <f>IF(L61="נתקבלה פנייה",K61,0)</f>
        <v>0</v>
      </c>
      <c r="R61" s="110">
        <f>IF(L61="יצאה הצעת מחיר",K61,0)</f>
        <v>0</v>
      </c>
      <c r="S61" s="110">
        <f>IF(L61="משא ומתן",K61,0)</f>
        <v>0</v>
      </c>
      <c r="T61" s="110">
        <f>IF(L61="ממתין להזמנה",K61,0)</f>
        <v>0</v>
      </c>
      <c r="U61" s="110">
        <f>IF(L61="התקבלה הזמנה",K61,0)</f>
        <v>0</v>
      </c>
      <c r="V61" s="110">
        <f>IF(L61="נפל",K61,0)</f>
        <v>47000</v>
      </c>
      <c r="W61" s="110">
        <f>IF(L61="הסתיים",K61,0)</f>
        <v>0</v>
      </c>
      <c r="X61" s="111">
        <f>IF(L61="הפך להזמנה",(N61-#REF!),0)</f>
        <v>0</v>
      </c>
    </row>
    <row r="62" spans="1:24" ht="12.75" customHeight="1">
      <c r="A62" s="70">
        <v>300010160</v>
      </c>
      <c r="B62" s="3" t="s">
        <v>460</v>
      </c>
      <c r="C62" s="135" t="str">
        <f t="shared" si="28"/>
        <v>300010160-רשות המסים מערכת VOD</v>
      </c>
      <c r="D62" s="137">
        <v>45046</v>
      </c>
      <c r="E62" s="137"/>
      <c r="F62" s="115" t="s">
        <v>147</v>
      </c>
      <c r="G62" s="114" t="s">
        <v>334</v>
      </c>
      <c r="H62" s="116"/>
      <c r="I62" s="117"/>
      <c r="J62" s="110" t="s">
        <v>303</v>
      </c>
      <c r="K62" s="110">
        <v>45000</v>
      </c>
      <c r="L62" s="110" t="s">
        <v>296</v>
      </c>
      <c r="M62" s="118" t="s">
        <v>461</v>
      </c>
      <c r="N62" s="110">
        <v>0</v>
      </c>
      <c r="O62" s="110">
        <f>K62-N62</f>
        <v>45000</v>
      </c>
      <c r="P62" s="110" t="s">
        <v>301</v>
      </c>
      <c r="Q62" s="110">
        <f>IF(L62="נתקבלה פנייה",K62,0)</f>
        <v>0</v>
      </c>
      <c r="R62" s="110">
        <f>IF(L62="יצאה הצעת מחיר",K62,0)</f>
        <v>0</v>
      </c>
      <c r="S62" s="110">
        <f>IF(L62="משא ומתן",K62,0)</f>
        <v>45000</v>
      </c>
      <c r="T62" s="110">
        <f>IF(L62="ממתין להזמנה",K62,0)</f>
        <v>0</v>
      </c>
      <c r="U62" s="110">
        <f>IF(L62="התקבלה הזמנה",K62,0)</f>
        <v>0</v>
      </c>
      <c r="V62" s="110">
        <f>IF(L62="נפל",K62,0)</f>
        <v>0</v>
      </c>
      <c r="W62" s="110">
        <f>IF(L62="הסתיים",K62,0)</f>
        <v>0</v>
      </c>
      <c r="X62" s="110">
        <f>IF(L62="הפך להזמנה",(N62-#REF!),0)</f>
        <v>0</v>
      </c>
    </row>
    <row r="63" spans="1:24" ht="12.75" hidden="1" customHeight="1">
      <c r="A63" s="67">
        <v>300010194</v>
      </c>
      <c r="B63" s="3" t="s">
        <v>462</v>
      </c>
      <c r="C63" s="135" t="str">
        <f t="shared" si="28"/>
        <v>300010194-ביג גלילות- שוב</v>
      </c>
      <c r="D63" s="114">
        <v>45078</v>
      </c>
      <c r="E63" s="114"/>
      <c r="F63" s="115" t="s">
        <v>112</v>
      </c>
      <c r="G63" s="114" t="s">
        <v>344</v>
      </c>
      <c r="H63" s="116"/>
      <c r="I63" s="117"/>
      <c r="J63" s="110" t="s">
        <v>139</v>
      </c>
      <c r="K63" s="110">
        <v>150000</v>
      </c>
      <c r="L63" s="110" t="s">
        <v>297</v>
      </c>
      <c r="M63" s="118" t="s">
        <v>463</v>
      </c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>
        <f>IF(L63="הפך להזמנה",(N63-#REF!),0)</f>
        <v>0</v>
      </c>
    </row>
    <row r="64" spans="1:24" ht="12.75" hidden="1" customHeight="1">
      <c r="A64" s="67">
        <v>300010195</v>
      </c>
      <c r="B64" s="3" t="s">
        <v>464</v>
      </c>
      <c r="C64" s="135" t="str">
        <f t="shared" si="28"/>
        <v>300010195-אכסניות אנא</v>
      </c>
      <c r="D64" s="114">
        <v>45137</v>
      </c>
      <c r="E64" s="114"/>
      <c r="F64" s="115" t="s">
        <v>196</v>
      </c>
      <c r="G64" s="114" t="s">
        <v>310</v>
      </c>
      <c r="H64" s="116"/>
      <c r="I64" s="117"/>
      <c r="J64" s="110" t="s">
        <v>102</v>
      </c>
      <c r="K64" s="110">
        <v>207000</v>
      </c>
      <c r="L64" s="110" t="s">
        <v>297</v>
      </c>
      <c r="M64" s="118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>
        <f>IF(L64="הפך להזמנה",(N64-#REF!),0)</f>
        <v>0</v>
      </c>
    </row>
    <row r="65" spans="1:24" ht="12" hidden="1" customHeight="1">
      <c r="A65" s="67">
        <v>300010196</v>
      </c>
      <c r="B65" s="3" t="s">
        <v>465</v>
      </c>
      <c r="C65" s="135" t="str">
        <f t="shared" si="28"/>
        <v>300010196-גנאדי רויאלנט - שוב חווה סולארי</v>
      </c>
      <c r="D65" s="114">
        <v>45087</v>
      </c>
      <c r="E65" s="114"/>
      <c r="F65" s="114" t="s">
        <v>199</v>
      </c>
      <c r="G65" s="114" t="s">
        <v>466</v>
      </c>
      <c r="H65" s="116"/>
      <c r="I65" s="117"/>
      <c r="J65" s="110" t="s">
        <v>139</v>
      </c>
      <c r="K65" s="110">
        <v>40000</v>
      </c>
      <c r="L65" s="110" t="s">
        <v>297</v>
      </c>
      <c r="M65" s="118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>
        <f>IF(L65="הפך להזמנה",(N65-#REF!),0)</f>
        <v>0</v>
      </c>
    </row>
    <row r="66" spans="1:24" ht="12.75" hidden="1" customHeight="1">
      <c r="A66" s="67">
        <v>300010197</v>
      </c>
      <c r="B66" s="3" t="s">
        <v>467</v>
      </c>
      <c r="C66" s="135" t="str">
        <f t="shared" si="28"/>
        <v>300010197-איברי דניסון</v>
      </c>
      <c r="D66" s="114">
        <v>45087</v>
      </c>
      <c r="E66" s="114"/>
      <c r="F66" s="114" t="s">
        <v>199</v>
      </c>
      <c r="G66" s="114" t="s">
        <v>466</v>
      </c>
      <c r="H66" s="116"/>
      <c r="I66" s="117"/>
      <c r="J66" s="110" t="s">
        <v>139</v>
      </c>
      <c r="K66" s="110">
        <v>72000</v>
      </c>
      <c r="L66" s="110" t="s">
        <v>297</v>
      </c>
      <c r="M66" s="118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>
        <f>IF(L66="הפך להזמנה",(N66-#REF!),0)</f>
        <v>0</v>
      </c>
    </row>
    <row r="67" spans="1:24" ht="12.75" hidden="1" customHeight="1">
      <c r="A67" s="67">
        <v>300010199</v>
      </c>
      <c r="B67" s="3" t="s">
        <v>468</v>
      </c>
      <c r="C67" s="135" t="str">
        <f t="shared" si="28"/>
        <v>300010199-אסם מערכת שליטה מרכזית</v>
      </c>
      <c r="D67" s="114">
        <v>45089</v>
      </c>
      <c r="E67" s="114"/>
      <c r="F67" s="115" t="s">
        <v>196</v>
      </c>
      <c r="G67" s="114" t="s">
        <v>310</v>
      </c>
      <c r="H67" s="116"/>
      <c r="I67" s="117"/>
      <c r="J67" s="110" t="s">
        <v>154</v>
      </c>
      <c r="K67" s="110">
        <v>10000</v>
      </c>
      <c r="L67" s="110" t="s">
        <v>297</v>
      </c>
      <c r="M67" s="118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>
        <f>IF(L67="הפך להזמנה",(N67-#REF!),0)</f>
        <v>0</v>
      </c>
    </row>
    <row r="68" spans="1:24" ht="12.75" hidden="1" customHeight="1">
      <c r="A68" s="67">
        <v>300010202</v>
      </c>
      <c r="B68" s="3" t="s">
        <v>469</v>
      </c>
      <c r="C68" s="135" t="str">
        <f t="shared" si="28"/>
        <v>300010202-אוריין תוספות</v>
      </c>
      <c r="D68" s="114">
        <v>45105</v>
      </c>
      <c r="E68" s="114"/>
      <c r="F68" s="115" t="s">
        <v>107</v>
      </c>
      <c r="G68" s="114" t="s">
        <v>470</v>
      </c>
      <c r="H68" s="116"/>
      <c r="I68" s="117"/>
      <c r="J68" s="110" t="s">
        <v>102</v>
      </c>
      <c r="K68" s="110">
        <v>30000</v>
      </c>
      <c r="L68" s="110" t="s">
        <v>297</v>
      </c>
      <c r="M68" s="118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>
        <f>IF(L68="הפך להזמנה",(N68-#REF!),0)</f>
        <v>0</v>
      </c>
    </row>
    <row r="69" spans="1:24" ht="12.75" customHeight="1">
      <c r="A69" s="67">
        <v>300010193</v>
      </c>
      <c r="B69" s="3" t="s">
        <v>471</v>
      </c>
      <c r="C69" s="135" t="str">
        <f t="shared" si="28"/>
        <v>300010193-דיור מוגן אשקלון</v>
      </c>
      <c r="D69" s="114">
        <v>45136</v>
      </c>
      <c r="E69" s="114"/>
      <c r="F69" s="115" t="s">
        <v>112</v>
      </c>
      <c r="G69" s="114" t="s">
        <v>344</v>
      </c>
      <c r="H69" s="116"/>
      <c r="I69" s="117"/>
      <c r="J69" s="110" t="s">
        <v>139</v>
      </c>
      <c r="K69" s="110">
        <v>50000</v>
      </c>
      <c r="L69" s="110" t="s">
        <v>295</v>
      </c>
      <c r="M69" s="118" t="s">
        <v>350</v>
      </c>
      <c r="N69" s="110">
        <v>0</v>
      </c>
      <c r="O69" s="110">
        <f>K69-N69</f>
        <v>50000</v>
      </c>
      <c r="P69" s="110" t="s">
        <v>301</v>
      </c>
      <c r="Q69" s="110">
        <f>IF(L69="נתקבלה פנייה",K69,0)</f>
        <v>0</v>
      </c>
      <c r="R69" s="110">
        <f>IF(L69="יצאה הצעת מחיר",K69,0)</f>
        <v>50000</v>
      </c>
      <c r="S69" s="110">
        <f>IF(L69="משא ומתן",K69,0)</f>
        <v>0</v>
      </c>
      <c r="T69" s="110">
        <f>IF(L69="ממתין להזמנה",K69,0)</f>
        <v>0</v>
      </c>
      <c r="U69" s="110">
        <f>IF(L69="התקבלה הזמנה",K69,0)</f>
        <v>0</v>
      </c>
      <c r="V69" s="110">
        <f>IF(L69="נפל",K69,0)</f>
        <v>0</v>
      </c>
      <c r="W69" s="110">
        <f>IF(L69="הסתיים",K69,0)</f>
        <v>0</v>
      </c>
      <c r="X69" s="110">
        <f>IF(L69="הפך להזמנה",(N69-#REF!),0)</f>
        <v>0</v>
      </c>
    </row>
    <row r="70" spans="1:24" ht="12.75" hidden="1" customHeight="1">
      <c r="A70" s="67">
        <v>300010209</v>
      </c>
      <c r="B70" s="3" t="s">
        <v>472</v>
      </c>
      <c r="C70" s="135" t="str">
        <f t="shared" si="28"/>
        <v>300010209-עיר בטוחה בהונדורס</v>
      </c>
      <c r="D70" s="114">
        <v>45123</v>
      </c>
      <c r="E70" s="114"/>
      <c r="F70" s="115" t="s">
        <v>107</v>
      </c>
      <c r="G70" s="114" t="s">
        <v>473</v>
      </c>
      <c r="H70" s="116"/>
      <c r="I70" s="117"/>
      <c r="J70" s="110" t="s">
        <v>139</v>
      </c>
      <c r="K70" s="110">
        <v>1500000</v>
      </c>
      <c r="L70" s="110" t="s">
        <v>297</v>
      </c>
      <c r="M70" s="118" t="s">
        <v>474</v>
      </c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>
        <f>IF(L70="הפך להזמנה",(N70-#REF!),0)</f>
        <v>0</v>
      </c>
    </row>
    <row r="71" spans="1:24" ht="13.15" hidden="1">
      <c r="A71" s="67">
        <v>300010211</v>
      </c>
      <c r="B71" s="3" t="s">
        <v>475</v>
      </c>
      <c r="C71" s="135" t="str">
        <f t="shared" si="28"/>
        <v>300010211-ביג כרמי גת</v>
      </c>
      <c r="D71" s="114">
        <v>45124</v>
      </c>
      <c r="E71" s="114"/>
      <c r="F71" s="115" t="s">
        <v>476</v>
      </c>
      <c r="G71" s="114" t="s">
        <v>477</v>
      </c>
      <c r="H71" s="116"/>
      <c r="I71" s="117"/>
      <c r="J71" s="110" t="s">
        <v>108</v>
      </c>
      <c r="K71" s="110">
        <v>41000</v>
      </c>
      <c r="L71" s="110" t="s">
        <v>297</v>
      </c>
      <c r="M71" s="118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>
        <f>IF(L71="הפך להזמנה",(N71-#REF!),0)</f>
        <v>0</v>
      </c>
    </row>
    <row r="72" spans="1:24" ht="12.75" hidden="1" customHeight="1">
      <c r="A72" s="67">
        <v>300010212</v>
      </c>
      <c r="B72" s="3" t="s">
        <v>478</v>
      </c>
      <c r="C72" s="135" t="str">
        <f t="shared" si="28"/>
        <v>300010212-סוללים שוב ביטחון</v>
      </c>
      <c r="D72" s="114">
        <v>45124</v>
      </c>
      <c r="E72" s="114"/>
      <c r="F72" s="115" t="s">
        <v>112</v>
      </c>
      <c r="G72" s="114" t="s">
        <v>321</v>
      </c>
      <c r="H72" s="116"/>
      <c r="I72" s="117"/>
      <c r="J72" s="110" t="s">
        <v>108</v>
      </c>
      <c r="K72" s="110">
        <v>76000</v>
      </c>
      <c r="L72" s="110" t="s">
        <v>297</v>
      </c>
      <c r="M72" s="118" t="s">
        <v>479</v>
      </c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>
        <f>IF(L72="הפך להזמנה",(N72-#REF!),0)</f>
        <v>0</v>
      </c>
    </row>
    <row r="73" spans="1:24" s="332" customFormat="1" ht="12.75" customHeight="1">
      <c r="A73" s="67">
        <v>300010203</v>
      </c>
      <c r="B73" s="3" t="s">
        <v>480</v>
      </c>
      <c r="C73" s="135" t="str">
        <f t="shared" si="28"/>
        <v>300010203-פרויקט מעונות ספרא גבעת רם ים</v>
      </c>
      <c r="D73" s="114">
        <v>45105</v>
      </c>
      <c r="E73" s="114"/>
      <c r="F73" s="115" t="s">
        <v>107</v>
      </c>
      <c r="G73" s="114" t="s">
        <v>481</v>
      </c>
      <c r="H73" s="116"/>
      <c r="I73" s="117"/>
      <c r="J73" s="110" t="s">
        <v>102</v>
      </c>
      <c r="K73" s="110">
        <v>410000</v>
      </c>
      <c r="L73" s="110" t="s">
        <v>295</v>
      </c>
      <c r="M73" s="118" t="s">
        <v>482</v>
      </c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>
        <f>IF(L73="הפך להזמנה",(N73-#REF!),0)</f>
        <v>0</v>
      </c>
    </row>
    <row r="74" spans="1:24" ht="12.75" hidden="1" customHeight="1">
      <c r="A74" s="67">
        <v>300010214</v>
      </c>
      <c r="B74" s="3" t="s">
        <v>483</v>
      </c>
      <c r="C74" s="135" t="str">
        <f t="shared" si="28"/>
        <v xml:space="preserve">300010214-בית ישרכרט </v>
      </c>
      <c r="D74" s="114">
        <v>45125</v>
      </c>
      <c r="E74" s="114"/>
      <c r="F74" s="115" t="s">
        <v>207</v>
      </c>
      <c r="G74" s="114" t="s">
        <v>484</v>
      </c>
      <c r="H74" s="116"/>
      <c r="I74" s="117"/>
      <c r="J74" s="110" t="s">
        <v>102</v>
      </c>
      <c r="K74" s="110">
        <v>395000</v>
      </c>
      <c r="L74" s="110" t="s">
        <v>297</v>
      </c>
      <c r="M74" s="118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>
        <f>IF(L74="הפך להזמנה",(N74-#REF!),0)</f>
        <v>0</v>
      </c>
    </row>
    <row r="75" spans="1:24" ht="12" hidden="1" customHeight="1">
      <c r="A75" s="67">
        <v>300010215</v>
      </c>
      <c r="B75" s="3" t="s">
        <v>485</v>
      </c>
      <c r="C75" s="135" t="str">
        <f t="shared" si="28"/>
        <v xml:space="preserve">300010215-פארק יוקנעם </v>
      </c>
      <c r="D75" s="114">
        <v>45127</v>
      </c>
      <c r="E75" s="114"/>
      <c r="F75" s="115" t="s">
        <v>112</v>
      </c>
      <c r="G75" s="114" t="s">
        <v>321</v>
      </c>
      <c r="H75" s="116"/>
      <c r="I75" s="117"/>
      <c r="J75" s="110" t="s">
        <v>108</v>
      </c>
      <c r="K75" s="110">
        <v>28000</v>
      </c>
      <c r="L75" s="110" t="s">
        <v>297</v>
      </c>
      <c r="M75" s="118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>
        <f>IF(L75="הפך להזמנה",(N75-#REF!),0)</f>
        <v>0</v>
      </c>
    </row>
    <row r="76" spans="1:24" ht="12.75" hidden="1" customHeight="1">
      <c r="A76" s="67">
        <v>300010217</v>
      </c>
      <c r="B76" s="3" t="s">
        <v>486</v>
      </c>
      <c r="C76" s="135" t="str">
        <f t="shared" si="28"/>
        <v>300010217-אוניפארם שו"ב ביטחון</v>
      </c>
      <c r="D76" s="114">
        <v>45127</v>
      </c>
      <c r="E76" s="114"/>
      <c r="F76" s="115" t="s">
        <v>487</v>
      </c>
      <c r="G76" s="114" t="s">
        <v>488</v>
      </c>
      <c r="H76" s="116"/>
      <c r="I76" s="117"/>
      <c r="J76" s="110" t="s">
        <v>139</v>
      </c>
      <c r="K76" s="110">
        <v>150000</v>
      </c>
      <c r="L76" s="110" t="s">
        <v>297</v>
      </c>
      <c r="M76" s="118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>
        <f>IF(L76="הפך להזמנה",(N76-#REF!),0)</f>
        <v>0</v>
      </c>
    </row>
    <row r="77" spans="1:24" s="332" customFormat="1" ht="12.75" customHeight="1">
      <c r="A77" s="67">
        <v>300010213</v>
      </c>
      <c r="B77" s="3" t="s">
        <v>489</v>
      </c>
      <c r="C77" s="135" t="str">
        <f t="shared" si="28"/>
        <v>300010213-מערכת שוב בית חולים הילל יפה</v>
      </c>
      <c r="D77" s="114">
        <v>45125</v>
      </c>
      <c r="E77" s="114"/>
      <c r="F77" s="115" t="s">
        <v>329</v>
      </c>
      <c r="G77" s="114" t="s">
        <v>490</v>
      </c>
      <c r="H77" s="116"/>
      <c r="I77" s="117"/>
      <c r="J77" s="110" t="s">
        <v>108</v>
      </c>
      <c r="K77" s="110">
        <v>164000</v>
      </c>
      <c r="L77" s="110" t="s">
        <v>295</v>
      </c>
      <c r="M77" s="118" t="s">
        <v>491</v>
      </c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>
        <f>IF(L77="הפך להזמנה",(N77-#REF!),0)</f>
        <v>0</v>
      </c>
    </row>
    <row r="78" spans="1:24" ht="12.75" hidden="1" customHeight="1">
      <c r="A78" s="67">
        <v>300010225</v>
      </c>
      <c r="B78" s="3" t="s">
        <v>492</v>
      </c>
      <c r="C78" s="135" t="str">
        <f t="shared" si="28"/>
        <v>300010225-רכבי סיור ריו ברזיל</v>
      </c>
      <c r="D78" s="114">
        <v>45149</v>
      </c>
      <c r="E78" s="114"/>
      <c r="F78" s="115" t="s">
        <v>176</v>
      </c>
      <c r="G78" s="114" t="s">
        <v>493</v>
      </c>
      <c r="H78" s="116"/>
      <c r="I78" s="117"/>
      <c r="J78" s="110" t="s">
        <v>303</v>
      </c>
      <c r="K78" s="110">
        <v>4500000</v>
      </c>
      <c r="L78" s="110" t="s">
        <v>297</v>
      </c>
      <c r="M78" s="118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>
        <f>IF(L78="הפך להזמנה",(N78-#REF!),0)</f>
        <v>0</v>
      </c>
    </row>
    <row r="79" spans="1:24" ht="12.75" hidden="1" customHeight="1">
      <c r="A79" s="67">
        <v>300010226</v>
      </c>
      <c r="B79" s="3" t="s">
        <v>494</v>
      </c>
      <c r="C79" s="135" t="str">
        <f t="shared" si="28"/>
        <v>300010226-רמבם מערכת שו"ב</v>
      </c>
      <c r="D79" s="114">
        <v>45153</v>
      </c>
      <c r="E79" s="114"/>
      <c r="F79" s="115" t="s">
        <v>329</v>
      </c>
      <c r="G79" s="114" t="s">
        <v>495</v>
      </c>
      <c r="H79" s="116"/>
      <c r="I79" s="117"/>
      <c r="J79" s="110" t="s">
        <v>139</v>
      </c>
      <c r="K79" s="110">
        <v>15000</v>
      </c>
      <c r="L79" s="110" t="s">
        <v>151</v>
      </c>
      <c r="M79" s="118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>
        <f>IF(L79="הפך להזמנה",(N79-#REF!),0)</f>
        <v>0</v>
      </c>
    </row>
    <row r="80" spans="1:24" ht="12.75" customHeight="1">
      <c r="A80" s="265">
        <v>300010224</v>
      </c>
      <c r="B80" s="3" t="s">
        <v>496</v>
      </c>
      <c r="C80" s="135" t="str">
        <f t="shared" si="28"/>
        <v>300010224-שוב אש מנוע בת שמש</v>
      </c>
      <c r="D80" s="114">
        <v>45149</v>
      </c>
      <c r="E80" s="114"/>
      <c r="F80" s="114" t="s">
        <v>199</v>
      </c>
      <c r="G80" s="114" t="s">
        <v>456</v>
      </c>
      <c r="H80" s="116"/>
      <c r="I80" s="117"/>
      <c r="J80" s="110" t="s">
        <v>154</v>
      </c>
      <c r="K80" s="110">
        <v>98000</v>
      </c>
      <c r="L80" s="110" t="s">
        <v>225</v>
      </c>
      <c r="M80" s="118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>
        <f>IF(L80="הפך להזמנה",(N80-#REF!),0)</f>
        <v>0</v>
      </c>
    </row>
    <row r="81" spans="1:24" ht="13.15" hidden="1">
      <c r="A81" s="67">
        <v>300010233</v>
      </c>
      <c r="B81" s="3" t="s">
        <v>497</v>
      </c>
      <c r="C81" s="135" t="str">
        <f t="shared" si="28"/>
        <v>300010233-עמדת קיוקס גלובל טאוור</v>
      </c>
      <c r="D81" s="114">
        <v>45167</v>
      </c>
      <c r="E81" s="114"/>
      <c r="F81" s="115" t="s">
        <v>120</v>
      </c>
      <c r="G81" s="114" t="s">
        <v>498</v>
      </c>
      <c r="H81" s="116"/>
      <c r="I81" s="117"/>
      <c r="J81" s="110" t="s">
        <v>139</v>
      </c>
      <c r="K81" s="110">
        <v>43000</v>
      </c>
      <c r="L81" s="110" t="s">
        <v>297</v>
      </c>
      <c r="M81" s="118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>
        <f>IF(L81="הפך להזמנה",(N81-#REF!),0)</f>
        <v>0</v>
      </c>
    </row>
    <row r="82" spans="1:24" ht="12.75" hidden="1" customHeight="1">
      <c r="A82" s="67">
        <v>300010234</v>
      </c>
      <c r="B82" s="3" t="s">
        <v>499</v>
      </c>
      <c r="C82" s="135" t="str">
        <f t="shared" ref="C82:C110" si="29">A82&amp;"-"&amp;B82</f>
        <v>300010234-שוב לאתרים מרוחקים אפריקה</v>
      </c>
      <c r="D82" s="114">
        <v>45167</v>
      </c>
      <c r="E82" s="114"/>
      <c r="F82" s="115" t="s">
        <v>185</v>
      </c>
      <c r="G82" s="114" t="s">
        <v>405</v>
      </c>
      <c r="H82" s="116"/>
      <c r="I82" s="117"/>
      <c r="J82" s="110" t="s">
        <v>139</v>
      </c>
      <c r="K82" s="110">
        <v>100000</v>
      </c>
      <c r="L82" s="110" t="s">
        <v>297</v>
      </c>
      <c r="M82" s="118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>
        <f>IF(L82="הפך להזמנה",(N82-#REF!),0)</f>
        <v>0</v>
      </c>
    </row>
    <row r="83" spans="1:24" ht="13.15" hidden="1">
      <c r="A83" s="67">
        <v>300010235</v>
      </c>
      <c r="B83" s="3" t="s">
        <v>500</v>
      </c>
      <c r="C83" s="135" t="str">
        <f t="shared" si="29"/>
        <v>300010235-שוב בניין סלקום</v>
      </c>
      <c r="D83" s="114">
        <v>45172</v>
      </c>
      <c r="E83" s="114"/>
      <c r="F83" s="115" t="s">
        <v>199</v>
      </c>
      <c r="G83" s="114" t="s">
        <v>456</v>
      </c>
      <c r="H83" s="116"/>
      <c r="I83" s="117"/>
      <c r="J83" s="110" t="s">
        <v>108</v>
      </c>
      <c r="K83" s="110">
        <v>45000</v>
      </c>
      <c r="L83" s="110" t="s">
        <v>151</v>
      </c>
      <c r="M83" s="118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>
        <f>IF(L83="הפך להזמנה",(N83-#REF!),0)</f>
        <v>0</v>
      </c>
    </row>
    <row r="84" spans="1:24" ht="12.75" hidden="1" customHeight="1">
      <c r="A84" s="67">
        <v>300010236</v>
      </c>
      <c r="B84" s="3" t="s">
        <v>501</v>
      </c>
      <c r="C84" s="135" t="str">
        <f t="shared" si="29"/>
        <v>300010236-בקרה מבנה 4006</v>
      </c>
      <c r="D84" s="114">
        <v>45172</v>
      </c>
      <c r="E84" s="114"/>
      <c r="F84" s="115" t="s">
        <v>107</v>
      </c>
      <c r="G84" s="114" t="s">
        <v>502</v>
      </c>
      <c r="H84" s="116"/>
      <c r="I84" s="117"/>
      <c r="J84" s="110" t="s">
        <v>102</v>
      </c>
      <c r="K84" s="110">
        <v>480000</v>
      </c>
      <c r="L84" s="110" t="s">
        <v>297</v>
      </c>
      <c r="M84" s="118" t="s">
        <v>503</v>
      </c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>
        <f>IF(L84="הפך להזמנה",(N84-#REF!),0)</f>
        <v>0</v>
      </c>
    </row>
    <row r="85" spans="1:24" ht="12" hidden="1" customHeight="1">
      <c r="A85" s="67">
        <v>300010237</v>
      </c>
      <c r="B85" s="3" t="s">
        <v>504</v>
      </c>
      <c r="C85" s="135" t="str">
        <f t="shared" si="29"/>
        <v>300010237-שוב תהנכים חווה סולארית</v>
      </c>
      <c r="D85" s="114">
        <v>45173</v>
      </c>
      <c r="E85" s="114"/>
      <c r="F85" s="115" t="s">
        <v>185</v>
      </c>
      <c r="G85" s="114" t="s">
        <v>405</v>
      </c>
      <c r="H85" s="116"/>
      <c r="I85" s="117"/>
      <c r="J85" s="110" t="s">
        <v>139</v>
      </c>
      <c r="K85" s="110">
        <v>68000</v>
      </c>
      <c r="L85" s="110" t="s">
        <v>151</v>
      </c>
      <c r="M85" s="118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>
        <f>IF(L85="הפך להזמנה",(N85-#REF!),0)</f>
        <v>0</v>
      </c>
    </row>
    <row r="86" spans="1:24" ht="12.75" hidden="1" customHeight="1">
      <c r="A86" s="67">
        <v>300010238</v>
      </c>
      <c r="B86" s="3" t="s">
        <v>505</v>
      </c>
      <c r="C86" s="135" t="str">
        <f t="shared" si="29"/>
        <v>300010238-טבע מערכת שוב</v>
      </c>
      <c r="D86" s="114">
        <v>45173</v>
      </c>
      <c r="E86" s="114"/>
      <c r="F86" s="115" t="s">
        <v>506</v>
      </c>
      <c r="G86" s="114" t="s">
        <v>507</v>
      </c>
      <c r="H86" s="116"/>
      <c r="I86" s="117"/>
      <c r="J86" s="110" t="s">
        <v>139</v>
      </c>
      <c r="K86" s="110">
        <v>750000</v>
      </c>
      <c r="L86" s="110" t="s">
        <v>297</v>
      </c>
      <c r="M86" s="118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>
        <f>IF(L86="הפך להזמנה",(N86-#REF!),0)</f>
        <v>0</v>
      </c>
    </row>
    <row r="87" spans="1:24" ht="12" hidden="1" customHeight="1">
      <c r="A87" s="67">
        <v>300010239</v>
      </c>
      <c r="B87" s="3" t="s">
        <v>508</v>
      </c>
      <c r="C87" s="135" t="str">
        <f t="shared" si="29"/>
        <v>300010239-מגרש 70</v>
      </c>
      <c r="D87" s="114">
        <v>45175</v>
      </c>
      <c r="E87" s="114"/>
      <c r="F87" s="115" t="s">
        <v>107</v>
      </c>
      <c r="G87" s="114" t="s">
        <v>509</v>
      </c>
      <c r="H87" s="116"/>
      <c r="I87" s="117"/>
      <c r="J87" s="110" t="s">
        <v>102</v>
      </c>
      <c r="K87" s="110">
        <v>1285000</v>
      </c>
      <c r="L87" s="110" t="s">
        <v>297</v>
      </c>
      <c r="M87" s="118" t="s">
        <v>510</v>
      </c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>
        <f>IF(L87="הפך להזמנה",(N87-#REF!),0)</f>
        <v>0</v>
      </c>
    </row>
    <row r="88" spans="1:24" s="332" customFormat="1" ht="12.75" customHeight="1">
      <c r="A88" s="67">
        <v>300010261</v>
      </c>
      <c r="B88" s="3" t="s">
        <v>511</v>
      </c>
      <c r="C88" s="135" t="str">
        <f t="shared" si="29"/>
        <v>300010261-מכרז חשכל</v>
      </c>
      <c r="D88" s="114">
        <v>45222</v>
      </c>
      <c r="E88" s="114"/>
      <c r="F88" s="115" t="s">
        <v>150</v>
      </c>
      <c r="G88" s="114" t="s">
        <v>512</v>
      </c>
      <c r="H88" s="116"/>
      <c r="I88" s="117"/>
      <c r="J88" s="110" t="s">
        <v>139</v>
      </c>
      <c r="K88" s="110">
        <v>60000</v>
      </c>
      <c r="L88" s="110" t="s">
        <v>295</v>
      </c>
      <c r="M88" s="118" t="s">
        <v>513</v>
      </c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>
        <f>IF(L88="הפך להזמנה",(N88-#REF!),0)</f>
        <v>0</v>
      </c>
    </row>
    <row r="89" spans="1:24" ht="12.75" hidden="1" customHeight="1">
      <c r="A89" s="67">
        <v>300010243</v>
      </c>
      <c r="B89" s="3" t="s">
        <v>514</v>
      </c>
      <c r="C89" s="135" t="str">
        <f t="shared" si="29"/>
        <v>300010243-מערכת בקרה תחנות לוד-שער הגיא</v>
      </c>
      <c r="D89" s="114">
        <v>45179</v>
      </c>
      <c r="E89" s="114"/>
      <c r="F89" s="115" t="s">
        <v>107</v>
      </c>
      <c r="G89" s="114" t="s">
        <v>515</v>
      </c>
      <c r="H89" s="116"/>
      <c r="I89" s="117"/>
      <c r="J89" s="110" t="s">
        <v>108</v>
      </c>
      <c r="K89" s="110">
        <v>850000</v>
      </c>
      <c r="L89" s="110" t="s">
        <v>297</v>
      </c>
      <c r="M89" s="118" t="s">
        <v>516</v>
      </c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>
        <f>IF(L89="הפך להזמנה",(N89-#REF!),0)</f>
        <v>0</v>
      </c>
    </row>
    <row r="90" spans="1:24" ht="12.75" hidden="1" customHeight="1">
      <c r="A90" s="67">
        <v>300010246</v>
      </c>
      <c r="B90" s="3" t="s">
        <v>517</v>
      </c>
      <c r="C90" s="135" t="str">
        <f t="shared" si="29"/>
        <v>300010246-מערכת זימון אורחים ביוד</v>
      </c>
      <c r="D90" s="114">
        <v>45179</v>
      </c>
      <c r="E90" s="114"/>
      <c r="F90" s="115" t="s">
        <v>112</v>
      </c>
      <c r="G90" s="114" t="s">
        <v>321</v>
      </c>
      <c r="H90" s="116"/>
      <c r="I90" s="117"/>
      <c r="J90" s="110" t="s">
        <v>139</v>
      </c>
      <c r="K90" s="110">
        <v>350000</v>
      </c>
      <c r="L90" s="110" t="s">
        <v>151</v>
      </c>
      <c r="M90" s="118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>
        <f>IF(L90="הפך להזמנה",(N90-#REF!),0)</f>
        <v>0</v>
      </c>
    </row>
    <row r="91" spans="1:24" ht="12.75" hidden="1" customHeight="1">
      <c r="A91" s="67">
        <v>300010248</v>
      </c>
      <c r="B91" s="3" t="s">
        <v>518</v>
      </c>
      <c r="C91" s="135" t="str">
        <f t="shared" si="29"/>
        <v>300010248-מלם טים - אופק רחב</v>
      </c>
      <c r="D91" s="114">
        <v>45180</v>
      </c>
      <c r="E91" s="114"/>
      <c r="F91" s="115" t="s">
        <v>107</v>
      </c>
      <c r="G91" s="114" t="s">
        <v>519</v>
      </c>
      <c r="H91" s="116"/>
      <c r="I91" s="117"/>
      <c r="J91" s="110" t="s">
        <v>139</v>
      </c>
      <c r="K91" s="110">
        <v>1500000</v>
      </c>
      <c r="L91" s="110" t="s">
        <v>151</v>
      </c>
      <c r="M91" s="118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>
        <f>IF(L91="הפך להזמנה",(N91-#REF!),0)</f>
        <v>0</v>
      </c>
    </row>
    <row r="92" spans="1:24" ht="12.75" hidden="1" customHeight="1">
      <c r="A92" s="67">
        <v>300010249</v>
      </c>
      <c r="B92" s="3" t="s">
        <v>520</v>
      </c>
      <c r="C92" s="135" t="str">
        <f t="shared" si="29"/>
        <v>300010249-מרלוג קומסקו- קיסריה</v>
      </c>
      <c r="D92" s="114">
        <v>45188</v>
      </c>
      <c r="E92" s="114"/>
      <c r="F92" s="115" t="s">
        <v>112</v>
      </c>
      <c r="G92" s="114" t="s">
        <v>321</v>
      </c>
      <c r="H92" s="116"/>
      <c r="I92" s="117"/>
      <c r="J92" s="110" t="s">
        <v>139</v>
      </c>
      <c r="K92" s="110">
        <v>270000</v>
      </c>
      <c r="L92" s="110" t="s">
        <v>297</v>
      </c>
      <c r="M92" s="118" t="s">
        <v>521</v>
      </c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>
        <f>IF(L92="הפך להזמנה",(N92-#REF!),0)</f>
        <v>0</v>
      </c>
    </row>
    <row r="93" spans="1:24" ht="12.75" hidden="1" customHeight="1">
      <c r="A93" s="67">
        <v>300010250</v>
      </c>
      <c r="B93" s="3" t="s">
        <v>522</v>
      </c>
      <c r="C93" s="135" t="str">
        <f t="shared" si="29"/>
        <v>300010250-אונו סנטר</v>
      </c>
      <c r="D93" s="114">
        <v>45188</v>
      </c>
      <c r="E93" s="114"/>
      <c r="F93" s="115" t="s">
        <v>112</v>
      </c>
      <c r="G93" s="114" t="s">
        <v>321</v>
      </c>
      <c r="H93" s="116"/>
      <c r="I93" s="117"/>
      <c r="J93" s="110" t="s">
        <v>139</v>
      </c>
      <c r="K93" s="110">
        <v>47000</v>
      </c>
      <c r="L93" s="110" t="s">
        <v>297</v>
      </c>
      <c r="M93" s="118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>
        <f>IF(L93="הפך להזמנה",(N93-#REF!),0)</f>
        <v>0</v>
      </c>
    </row>
    <row r="94" spans="1:24" ht="12.75" hidden="1" customHeight="1">
      <c r="A94" s="67">
        <v>300010251</v>
      </c>
      <c r="B94" s="3" t="s">
        <v>523</v>
      </c>
      <c r="C94" s="135" t="str">
        <f t="shared" si="29"/>
        <v>300010251-תוספת דני מנור צוות 3</v>
      </c>
      <c r="D94" s="114">
        <v>45188</v>
      </c>
      <c r="E94" s="114"/>
      <c r="F94" s="115" t="s">
        <v>524</v>
      </c>
      <c r="G94" s="114" t="s">
        <v>525</v>
      </c>
      <c r="H94" s="116"/>
      <c r="I94" s="117"/>
      <c r="J94" s="110" t="s">
        <v>139</v>
      </c>
      <c r="K94" s="110">
        <v>22000</v>
      </c>
      <c r="L94" s="110" t="s">
        <v>151</v>
      </c>
      <c r="M94" s="118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>
        <f>IF(L94="הפך להזמנה",(N94-#REF!),0)</f>
        <v>0</v>
      </c>
    </row>
    <row r="95" spans="1:24" ht="12.75" hidden="1" customHeight="1">
      <c r="A95" s="67">
        <v>300010253</v>
      </c>
      <c r="B95" s="3" t="s">
        <v>526</v>
      </c>
      <c r="C95" s="135" t="str">
        <f t="shared" si="29"/>
        <v>300010253-מודול לזימון אורחים + קיוסק</v>
      </c>
      <c r="D95" s="114">
        <v>45188</v>
      </c>
      <c r="E95" s="114"/>
      <c r="F95" s="115" t="s">
        <v>107</v>
      </c>
      <c r="G95" s="114" t="s">
        <v>527</v>
      </c>
      <c r="H95" s="116"/>
      <c r="I95" s="117"/>
      <c r="J95" s="110" t="s">
        <v>303</v>
      </c>
      <c r="K95" s="110">
        <v>54000</v>
      </c>
      <c r="L95" s="110" t="s">
        <v>297</v>
      </c>
      <c r="M95" s="118" t="s">
        <v>528</v>
      </c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>
        <f>IF(L95="הפך להזמנה",(N95-#REF!),0)</f>
        <v>0</v>
      </c>
    </row>
    <row r="96" spans="1:24" ht="12.75" hidden="1" customHeight="1">
      <c r="A96" s="67">
        <v>300010254</v>
      </c>
      <c r="B96" s="3" t="s">
        <v>168</v>
      </c>
      <c r="C96" s="135" t="str">
        <f t="shared" si="29"/>
        <v>300010254-בזק שו"ב</v>
      </c>
      <c r="D96" s="114">
        <v>45190</v>
      </c>
      <c r="E96" s="114"/>
      <c r="F96" s="115" t="s">
        <v>107</v>
      </c>
      <c r="G96" s="114" t="s">
        <v>529</v>
      </c>
      <c r="H96" s="116"/>
      <c r="I96" s="117"/>
      <c r="J96" s="110" t="s">
        <v>139</v>
      </c>
      <c r="K96" s="110">
        <v>98000</v>
      </c>
      <c r="L96" s="110" t="s">
        <v>151</v>
      </c>
      <c r="M96" s="118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>
        <f>IF(L96="הפך להזמנה",(N96-#REF!),0)</f>
        <v>0</v>
      </c>
    </row>
    <row r="97" spans="1:24" ht="12.75" hidden="1" customHeight="1">
      <c r="A97" s="67">
        <v>300010255</v>
      </c>
      <c r="B97" s="3" t="s">
        <v>530</v>
      </c>
      <c r="C97" s="135" t="str">
        <f t="shared" si="29"/>
        <v>300010255-מגדלי דו   בקרת מבנה</v>
      </c>
      <c r="D97" s="114">
        <v>45199</v>
      </c>
      <c r="E97" s="114"/>
      <c r="F97" s="115" t="s">
        <v>101</v>
      </c>
      <c r="G97" s="114" t="s">
        <v>392</v>
      </c>
      <c r="H97" s="116"/>
      <c r="I97" s="117"/>
      <c r="J97" s="110" t="s">
        <v>102</v>
      </c>
      <c r="K97" s="110">
        <v>980000</v>
      </c>
      <c r="L97" s="110" t="s">
        <v>297</v>
      </c>
      <c r="M97" s="118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>
        <f>IF(L97="הפך להזמנה",(N97-#REF!),0)</f>
        <v>0</v>
      </c>
    </row>
    <row r="98" spans="1:24" ht="25.5" hidden="1" customHeight="1">
      <c r="A98" s="67">
        <v>300010256</v>
      </c>
      <c r="B98" s="3" t="s">
        <v>531</v>
      </c>
      <c r="C98" s="135" t="str">
        <f t="shared" si="29"/>
        <v>300010256- מגדל  לייףC בני ברק</v>
      </c>
      <c r="D98" s="114">
        <v>45200</v>
      </c>
      <c r="E98" s="114"/>
      <c r="F98" s="115" t="s">
        <v>124</v>
      </c>
      <c r="G98" s="114" t="s">
        <v>532</v>
      </c>
      <c r="H98" s="116"/>
      <c r="I98" s="117"/>
      <c r="J98" s="110" t="s">
        <v>102</v>
      </c>
      <c r="K98" s="110">
        <v>750000</v>
      </c>
      <c r="L98" s="110" t="s">
        <v>297</v>
      </c>
      <c r="M98" s="118" t="s">
        <v>533</v>
      </c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>
        <f>IF(L98="הפך להזמנה",(N98-#REF!),0)</f>
        <v>0</v>
      </c>
    </row>
    <row r="99" spans="1:24" ht="12.75" hidden="1" customHeight="1">
      <c r="A99" s="67">
        <v>300010257</v>
      </c>
      <c r="B99" s="3" t="s">
        <v>534</v>
      </c>
      <c r="C99" s="135" t="str">
        <f t="shared" si="29"/>
        <v>300010257-סמל דרום ביטחון</v>
      </c>
      <c r="D99" s="114">
        <v>45202</v>
      </c>
      <c r="E99" s="114"/>
      <c r="F99" s="115" t="s">
        <v>101</v>
      </c>
      <c r="G99" s="114" t="s">
        <v>392</v>
      </c>
      <c r="H99" s="116"/>
      <c r="I99" s="117"/>
      <c r="J99" s="110" t="s">
        <v>139</v>
      </c>
      <c r="K99" s="110">
        <v>53000</v>
      </c>
      <c r="L99" s="110" t="s">
        <v>297</v>
      </c>
      <c r="M99" s="118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>
        <f>IF(L99="הפך להזמנה",(N99-#REF!),0)</f>
        <v>0</v>
      </c>
    </row>
    <row r="100" spans="1:24" ht="12.75" hidden="1" customHeight="1">
      <c r="A100" s="67">
        <v>300010258</v>
      </c>
      <c r="B100" s="3" t="s">
        <v>535</v>
      </c>
      <c r="C100" s="135" t="str">
        <f t="shared" si="29"/>
        <v>300010258-שו"ב עירוני תל מונד</v>
      </c>
      <c r="D100" s="114">
        <v>45202</v>
      </c>
      <c r="E100" s="114"/>
      <c r="F100" s="115" t="s">
        <v>536</v>
      </c>
      <c r="G100" s="114" t="s">
        <v>537</v>
      </c>
      <c r="H100" s="116"/>
      <c r="I100" s="117"/>
      <c r="J100" s="110" t="s">
        <v>139</v>
      </c>
      <c r="K100" s="110"/>
      <c r="L100" s="110" t="s">
        <v>297</v>
      </c>
      <c r="M100" s="118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>
        <f>IF(L100="הפך להזמנה",(N100-#REF!),0)</f>
        <v>0</v>
      </c>
    </row>
    <row r="101" spans="1:24" ht="12.75" hidden="1" customHeight="1">
      <c r="A101" s="67">
        <v>300010260</v>
      </c>
      <c r="B101" s="3" t="s">
        <v>538</v>
      </c>
      <c r="C101" s="135" t="str">
        <f t="shared" si="29"/>
        <v>300010260-עלית ביטחון</v>
      </c>
      <c r="D101" s="114">
        <v>45221</v>
      </c>
      <c r="E101" s="114"/>
      <c r="F101" s="115" t="s">
        <v>112</v>
      </c>
      <c r="G101" s="114" t="s">
        <v>321</v>
      </c>
      <c r="H101" s="116"/>
      <c r="I101" s="117"/>
      <c r="J101" s="110" t="s">
        <v>139</v>
      </c>
      <c r="K101" s="110">
        <v>43000</v>
      </c>
      <c r="L101" s="110" t="s">
        <v>297</v>
      </c>
      <c r="M101" s="118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>
        <f>IF(L101="הפך להזמנה",(N101-#REF!),0)</f>
        <v>0</v>
      </c>
    </row>
    <row r="102" spans="1:24" s="326" customFormat="1" ht="12.75" customHeight="1">
      <c r="A102" s="67">
        <v>300010264</v>
      </c>
      <c r="B102" s="3" t="s">
        <v>539</v>
      </c>
      <c r="C102" s="135" t="str">
        <f t="shared" si="29"/>
        <v xml:space="preserve">300010264-אליאב </v>
      </c>
      <c r="D102" s="114">
        <v>45224</v>
      </c>
      <c r="E102" s="114"/>
      <c r="F102" s="115" t="s">
        <v>185</v>
      </c>
      <c r="G102" s="114" t="s">
        <v>405</v>
      </c>
      <c r="H102" s="116"/>
      <c r="I102" s="117"/>
      <c r="J102" s="110" t="s">
        <v>139</v>
      </c>
      <c r="K102" s="110">
        <v>23000</v>
      </c>
      <c r="L102" s="110" t="s">
        <v>295</v>
      </c>
      <c r="M102" s="118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>
        <f>IF(L102="הפך להזמנה",(N102-#REF!),0)</f>
        <v>0</v>
      </c>
    </row>
    <row r="103" spans="1:24" ht="12.75" hidden="1" customHeight="1">
      <c r="A103" s="67">
        <v>300010262</v>
      </c>
      <c r="B103" s="3" t="s">
        <v>540</v>
      </c>
      <c r="C103" s="135" t="str">
        <f t="shared" si="29"/>
        <v>300010262-שער המדע רחובות</v>
      </c>
      <c r="D103" s="114">
        <v>45222</v>
      </c>
      <c r="E103" s="114"/>
      <c r="F103" s="115" t="s">
        <v>112</v>
      </c>
      <c r="G103" s="114" t="s">
        <v>321</v>
      </c>
      <c r="H103" s="116"/>
      <c r="I103" s="117"/>
      <c r="J103" s="110" t="s">
        <v>139</v>
      </c>
      <c r="K103" s="110">
        <v>49000</v>
      </c>
      <c r="L103" s="110" t="s">
        <v>297</v>
      </c>
      <c r="M103" s="118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>
        <f>IF(L103="הפך להזמנה",(N103-#REF!),0)</f>
        <v>0</v>
      </c>
    </row>
    <row r="104" spans="1:24" ht="12.75" hidden="1" customHeight="1">
      <c r="A104" s="67">
        <v>300010263</v>
      </c>
      <c r="B104" s="3" t="s">
        <v>541</v>
      </c>
      <c r="C104" s="135" t="str">
        <f t="shared" si="29"/>
        <v>300010263-חנה וסע חניון בייט ירושלים</v>
      </c>
      <c r="D104" s="114">
        <v>45222</v>
      </c>
      <c r="E104" s="114"/>
      <c r="F104" s="115" t="s">
        <v>107</v>
      </c>
      <c r="G104" s="114" t="s">
        <v>542</v>
      </c>
      <c r="H104" s="116"/>
      <c r="I104" s="117"/>
      <c r="J104" s="110" t="s">
        <v>102</v>
      </c>
      <c r="K104" s="110">
        <v>385000</v>
      </c>
      <c r="L104" s="110" t="s">
        <v>297</v>
      </c>
      <c r="M104" s="118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>
        <f>IF(L104="הפך להזמנה",(N104-#REF!),0)</f>
        <v>0</v>
      </c>
    </row>
    <row r="105" spans="1:24" ht="12.75" customHeight="1">
      <c r="A105" s="67">
        <v>300010268</v>
      </c>
      <c r="B105" s="3" t="s">
        <v>543</v>
      </c>
      <c r="C105" s="135" t="str">
        <f t="shared" si="29"/>
        <v>300010268-אנילוג אשדוד</v>
      </c>
      <c r="D105" s="114">
        <v>45232</v>
      </c>
      <c r="E105" s="114"/>
      <c r="F105" s="115" t="s">
        <v>112</v>
      </c>
      <c r="G105" s="114" t="s">
        <v>321</v>
      </c>
      <c r="H105" s="116"/>
      <c r="I105" s="117"/>
      <c r="J105" s="110" t="s">
        <v>139</v>
      </c>
      <c r="K105" s="110">
        <v>69000</v>
      </c>
      <c r="L105" s="110" t="s">
        <v>295</v>
      </c>
      <c r="M105" s="118" t="s">
        <v>350</v>
      </c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>
        <f>IF(L105="הפך להזמנה",(N105-#REF!),0)</f>
        <v>0</v>
      </c>
    </row>
    <row r="106" spans="1:24" ht="12.75" hidden="1" customHeight="1">
      <c r="A106" s="67">
        <v>300010265</v>
      </c>
      <c r="B106" s="3" t="s">
        <v>544</v>
      </c>
      <c r="C106" s="135" t="str">
        <f t="shared" si="29"/>
        <v xml:space="preserve">300010265-פרויקט  שדרוג ג'נסיס </v>
      </c>
      <c r="D106" s="114">
        <v>45224</v>
      </c>
      <c r="E106" s="114"/>
      <c r="F106" s="115" t="s">
        <v>185</v>
      </c>
      <c r="G106" s="114" t="s">
        <v>405</v>
      </c>
      <c r="H106" s="116"/>
      <c r="I106" s="117"/>
      <c r="J106" s="110" t="s">
        <v>139</v>
      </c>
      <c r="K106" s="110">
        <v>23000</v>
      </c>
      <c r="L106" s="110" t="s">
        <v>297</v>
      </c>
      <c r="M106" s="118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>
        <f>IF(L106="הפך להזמנה",(N106-#REF!),0)</f>
        <v>0</v>
      </c>
    </row>
    <row r="107" spans="1:24" ht="12.75" hidden="1" customHeight="1">
      <c r="A107" s="67">
        <v>300010267</v>
      </c>
      <c r="B107" s="3" t="s">
        <v>545</v>
      </c>
      <c r="C107" s="135" t="str">
        <f t="shared" si="29"/>
        <v>300010267-מקורות צפון</v>
      </c>
      <c r="D107" s="114">
        <v>45228</v>
      </c>
      <c r="E107" s="114"/>
      <c r="F107" s="115" t="s">
        <v>524</v>
      </c>
      <c r="G107" s="114" t="s">
        <v>546</v>
      </c>
      <c r="H107" s="116"/>
      <c r="I107" s="117"/>
      <c r="J107" s="110" t="s">
        <v>139</v>
      </c>
      <c r="K107" s="110">
        <v>10000</v>
      </c>
      <c r="L107" s="110" t="s">
        <v>297</v>
      </c>
      <c r="M107" s="118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>
        <f>IF(L107="הפך להזמנה",(N107-#REF!),0)</f>
        <v>0</v>
      </c>
    </row>
    <row r="108" spans="1:24" ht="12.75" hidden="1" customHeight="1">
      <c r="A108" s="67">
        <v>300010269</v>
      </c>
      <c r="B108" s="3" t="s">
        <v>547</v>
      </c>
      <c r="C108" s="135" t="str">
        <f t="shared" si="29"/>
        <v>300010269-מרכז מסחרי שבירו הוד השרון</v>
      </c>
      <c r="D108" s="114">
        <v>45236</v>
      </c>
      <c r="E108" s="114"/>
      <c r="F108" s="115" t="s">
        <v>199</v>
      </c>
      <c r="G108" s="114" t="s">
        <v>456</v>
      </c>
      <c r="H108" s="116"/>
      <c r="I108" s="117"/>
      <c r="J108" s="110" t="s">
        <v>102</v>
      </c>
      <c r="K108" s="110">
        <v>229000</v>
      </c>
      <c r="L108" s="110" t="s">
        <v>297</v>
      </c>
      <c r="M108" s="118" t="s">
        <v>548</v>
      </c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>
        <f>IF(L108="הפך להזמנה",(N108-#REF!),0)</f>
        <v>0</v>
      </c>
    </row>
    <row r="109" spans="1:24" ht="12.75" customHeight="1">
      <c r="A109" s="67">
        <v>300010285</v>
      </c>
      <c r="B109" s="3" t="s">
        <v>549</v>
      </c>
      <c r="C109" s="135" t="str">
        <f t="shared" si="29"/>
        <v>300010285-אורות פנינה שוב</v>
      </c>
      <c r="D109" s="114">
        <v>45279</v>
      </c>
      <c r="E109" s="114"/>
      <c r="F109" s="115" t="s">
        <v>185</v>
      </c>
      <c r="G109" s="114" t="s">
        <v>405</v>
      </c>
      <c r="H109" s="116"/>
      <c r="I109" s="117"/>
      <c r="J109" s="110" t="s">
        <v>139</v>
      </c>
      <c r="K109" s="110">
        <v>45000</v>
      </c>
      <c r="L109" s="110" t="s">
        <v>295</v>
      </c>
      <c r="M109" s="118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>
        <f>IF(L109="הפך להזמנה",(N109-#REF!),0)</f>
        <v>0</v>
      </c>
    </row>
    <row r="110" spans="1:24" ht="12" hidden="1" customHeight="1">
      <c r="A110" s="67">
        <v>300010271</v>
      </c>
      <c r="B110" s="3" t="s">
        <v>550</v>
      </c>
      <c r="C110" s="135" t="str">
        <f t="shared" si="29"/>
        <v>300010271-מפת חדרים עובר חוות רנן</v>
      </c>
      <c r="D110" s="114">
        <v>45243</v>
      </c>
      <c r="E110" s="114"/>
      <c r="F110" s="115" t="s">
        <v>107</v>
      </c>
      <c r="G110" s="114" t="s">
        <v>551</v>
      </c>
      <c r="H110" s="116"/>
      <c r="I110" s="117"/>
      <c r="J110" s="110" t="s">
        <v>139</v>
      </c>
      <c r="K110" s="110">
        <v>52000</v>
      </c>
      <c r="L110" s="110" t="s">
        <v>297</v>
      </c>
      <c r="M110" s="145" t="s">
        <v>552</v>
      </c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>
        <f>IF(L110="הפך להזמנה",(N110-#REF!),0)</f>
        <v>0</v>
      </c>
    </row>
    <row r="111" spans="1:24" ht="12.75" hidden="1" customHeight="1">
      <c r="A111" s="67">
        <v>300010272</v>
      </c>
      <c r="B111" s="3" t="s">
        <v>553</v>
      </c>
      <c r="C111" s="135" t="s">
        <v>554</v>
      </c>
      <c r="D111" s="114">
        <v>45253</v>
      </c>
      <c r="E111" s="115" t="s">
        <v>107</v>
      </c>
      <c r="F111" s="114" t="s">
        <v>176</v>
      </c>
      <c r="G111" s="114" t="s">
        <v>401</v>
      </c>
      <c r="H111" s="110">
        <v>260000</v>
      </c>
      <c r="I111" s="110" t="s">
        <v>295</v>
      </c>
      <c r="J111" s="118" t="s">
        <v>139</v>
      </c>
      <c r="K111" s="110">
        <v>260000</v>
      </c>
      <c r="L111" s="110" t="s">
        <v>297</v>
      </c>
      <c r="M111" s="110"/>
      <c r="N111" s="146"/>
      <c r="O111" s="147">
        <v>0</v>
      </c>
      <c r="P111" s="148"/>
      <c r="Q111" s="148"/>
      <c r="R111" s="148"/>
      <c r="S111" s="148"/>
      <c r="T111" s="148"/>
      <c r="U111" s="148"/>
      <c r="V111" s="148"/>
      <c r="W111" s="110"/>
      <c r="X111" s="148"/>
    </row>
    <row r="112" spans="1:24" ht="12.75" hidden="1" customHeight="1">
      <c r="A112" s="70">
        <v>300010162</v>
      </c>
      <c r="B112" s="3" t="s">
        <v>555</v>
      </c>
      <c r="C112" s="135" t="str">
        <f>A112&amp;"-"&amp;B112</f>
        <v>300010162-מעונות סטודנטים רחובות</v>
      </c>
      <c r="D112" s="137">
        <v>45047</v>
      </c>
      <c r="E112" s="137"/>
      <c r="F112" s="115" t="s">
        <v>107</v>
      </c>
      <c r="G112" s="114" t="s">
        <v>556</v>
      </c>
      <c r="H112" s="116"/>
      <c r="I112" s="117"/>
      <c r="J112" s="110" t="s">
        <v>102</v>
      </c>
      <c r="K112" s="110">
        <v>455130</v>
      </c>
      <c r="L112" s="110" t="s">
        <v>297</v>
      </c>
      <c r="M112" s="118"/>
      <c r="N112" s="160">
        <v>0</v>
      </c>
      <c r="O112" s="160">
        <f>K112-N112</f>
        <v>455130</v>
      </c>
      <c r="P112" s="160" t="s">
        <v>301</v>
      </c>
      <c r="Q112" s="110">
        <f>IF(L112="נתקבלה פנייה",K112,0)</f>
        <v>0</v>
      </c>
      <c r="R112" s="110">
        <f>IF(L112="יצאה הצעת מחיר",K112,0)</f>
        <v>0</v>
      </c>
      <c r="S112" s="110">
        <f>IF(L112="משא ומתן",K112,0)</f>
        <v>0</v>
      </c>
      <c r="T112" s="110">
        <f>IF(L112="ממתין להזמנה",K112,0)</f>
        <v>0</v>
      </c>
      <c r="U112" s="110">
        <f>IF(L112="התקבלה הזמנה",K112,0)</f>
        <v>0</v>
      </c>
      <c r="V112" s="110">
        <f>IF(L112="נפל",K112,0)</f>
        <v>455130</v>
      </c>
      <c r="W112" s="110">
        <f>IF(L112="הסתיים",K112,0)</f>
        <v>0</v>
      </c>
      <c r="X112" s="110">
        <f>IF(L112="הפך להזמנה",(N112-#REF!),0)</f>
        <v>0</v>
      </c>
    </row>
    <row r="113" spans="1:24" ht="12.75" hidden="1" customHeight="1">
      <c r="A113" s="67">
        <v>300010275</v>
      </c>
      <c r="B113" s="3" t="s">
        <v>557</v>
      </c>
      <c r="C113" s="135" t="s">
        <v>558</v>
      </c>
      <c r="D113" s="114">
        <v>45257</v>
      </c>
      <c r="E113" s="115" t="s">
        <v>112</v>
      </c>
      <c r="F113" s="114" t="s">
        <v>112</v>
      </c>
      <c r="G113" s="114" t="s">
        <v>321</v>
      </c>
      <c r="H113" s="110">
        <v>225000</v>
      </c>
      <c r="I113" s="110" t="s">
        <v>295</v>
      </c>
      <c r="J113" s="118" t="s">
        <v>139</v>
      </c>
      <c r="K113" s="110">
        <v>225000</v>
      </c>
      <c r="L113" s="110" t="s">
        <v>297</v>
      </c>
      <c r="M113" s="118" t="s">
        <v>350</v>
      </c>
      <c r="N113" s="146"/>
      <c r="O113" s="147">
        <v>0</v>
      </c>
      <c r="P113" s="148"/>
      <c r="Q113" s="110"/>
      <c r="R113" s="110"/>
      <c r="S113" s="110"/>
      <c r="T113" s="110"/>
      <c r="U113" s="110"/>
      <c r="V113" s="110"/>
      <c r="W113" s="110"/>
      <c r="X113" s="110">
        <f>IF(L113="הפך להזמנה",(N113-#REF!),0)</f>
        <v>0</v>
      </c>
    </row>
    <row r="114" spans="1:24" ht="12.75" hidden="1" customHeight="1">
      <c r="A114" s="67">
        <v>300010273</v>
      </c>
      <c r="B114" s="3" t="s">
        <v>559</v>
      </c>
      <c r="C114" s="135" t="s">
        <v>560</v>
      </c>
      <c r="D114" s="114">
        <v>45256</v>
      </c>
      <c r="E114" s="115" t="s">
        <v>112</v>
      </c>
      <c r="F114" s="114" t="s">
        <v>112</v>
      </c>
      <c r="G114" s="114" t="s">
        <v>344</v>
      </c>
      <c r="H114" s="110">
        <v>40000</v>
      </c>
      <c r="I114" s="110" t="s">
        <v>295</v>
      </c>
      <c r="J114" s="118" t="s">
        <v>139</v>
      </c>
      <c r="K114" s="110">
        <v>40000</v>
      </c>
      <c r="L114" s="110" t="s">
        <v>151</v>
      </c>
      <c r="M114" s="110"/>
      <c r="N114" s="146"/>
      <c r="O114" s="147">
        <v>0</v>
      </c>
      <c r="P114" s="148"/>
      <c r="Q114" s="110"/>
      <c r="R114" s="110"/>
      <c r="S114" s="110"/>
      <c r="T114" s="110"/>
      <c r="U114" s="110"/>
      <c r="V114" s="110"/>
      <c r="W114" s="110"/>
      <c r="X114" s="110">
        <f>IF(L114="הפך להזמנה",(N114-#REF!),0)</f>
        <v>0</v>
      </c>
    </row>
    <row r="115" spans="1:24" ht="13.15" hidden="1">
      <c r="A115" s="67">
        <v>300010277</v>
      </c>
      <c r="B115" s="3" t="s">
        <v>561</v>
      </c>
      <c r="C115" s="135" t="str">
        <f>A115&amp;"-"&amp;B115</f>
        <v>300010277-מיגון ובקרה אתרים קזחסטן</v>
      </c>
      <c r="D115" s="114">
        <v>45264</v>
      </c>
      <c r="E115" s="114"/>
      <c r="F115" s="115" t="s">
        <v>107</v>
      </c>
      <c r="G115" s="114" t="s">
        <v>562</v>
      </c>
      <c r="H115" s="116"/>
      <c r="I115" s="117"/>
      <c r="J115" s="110" t="s">
        <v>108</v>
      </c>
      <c r="K115" s="110">
        <v>420000</v>
      </c>
      <c r="L115" s="110" t="s">
        <v>297</v>
      </c>
      <c r="M115" s="118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>
        <f>IF(L115="הפך להזמנה",(N115-#REF!),0)</f>
        <v>0</v>
      </c>
    </row>
    <row r="116" spans="1:24" ht="13.15" hidden="1">
      <c r="A116" s="67">
        <v>300010278</v>
      </c>
      <c r="B116" s="3" t="s">
        <v>155</v>
      </c>
      <c r="C116" s="135" t="s">
        <v>563</v>
      </c>
      <c r="D116" s="114">
        <v>45264</v>
      </c>
      <c r="E116" s="115" t="s">
        <v>112</v>
      </c>
      <c r="F116" s="114" t="s">
        <v>150</v>
      </c>
      <c r="G116" s="110" t="s">
        <v>323</v>
      </c>
      <c r="H116" s="110"/>
      <c r="I116" s="110" t="s">
        <v>294</v>
      </c>
      <c r="J116" s="118" t="s">
        <v>139</v>
      </c>
      <c r="K116" s="110">
        <v>140000</v>
      </c>
      <c r="L116" s="110" t="s">
        <v>151</v>
      </c>
      <c r="M116" s="110" t="s">
        <v>564</v>
      </c>
      <c r="N116" s="68"/>
      <c r="O116" s="69">
        <v>0</v>
      </c>
      <c r="P116" s="63"/>
      <c r="Q116" s="63"/>
      <c r="R116" s="63"/>
      <c r="S116" s="63"/>
      <c r="T116" s="63"/>
      <c r="U116" s="63"/>
      <c r="V116" s="63"/>
      <c r="W116" s="110"/>
      <c r="X116" s="110">
        <f>IF(L116="הפך להזמנה",(N116-#REF!),0)</f>
        <v>0</v>
      </c>
    </row>
    <row r="117" spans="1:24" ht="13.15" hidden="1">
      <c r="A117" s="67">
        <v>300010279</v>
      </c>
      <c r="B117" s="3" t="s">
        <v>565</v>
      </c>
      <c r="C117" s="135" t="s">
        <v>566</v>
      </c>
      <c r="D117" s="114">
        <v>45265</v>
      </c>
      <c r="E117" s="115" t="s">
        <v>199</v>
      </c>
      <c r="F117" s="114" t="s">
        <v>199</v>
      </c>
      <c r="G117" s="110" t="s">
        <v>456</v>
      </c>
      <c r="H117" s="110"/>
      <c r="I117" s="110" t="s">
        <v>294</v>
      </c>
      <c r="J117" s="118" t="s">
        <v>102</v>
      </c>
      <c r="K117" s="110">
        <v>520000</v>
      </c>
      <c r="L117" s="110" t="s">
        <v>151</v>
      </c>
      <c r="M117" s="110"/>
      <c r="N117" s="146"/>
      <c r="O117" s="147">
        <v>0</v>
      </c>
      <c r="P117" s="148"/>
      <c r="Q117" s="148"/>
      <c r="R117" s="148"/>
      <c r="S117" s="148"/>
      <c r="T117" s="148"/>
      <c r="U117" s="148"/>
      <c r="V117" s="148"/>
      <c r="W117" s="110"/>
      <c r="X117" s="110">
        <f>IF(L117="הפך להזמנה",(N117-#REF!),0)</f>
        <v>0</v>
      </c>
    </row>
    <row r="118" spans="1:24" ht="13.15" hidden="1">
      <c r="A118" s="67">
        <v>300010280</v>
      </c>
      <c r="B118" s="3" t="s">
        <v>567</v>
      </c>
      <c r="C118" s="135" t="s">
        <v>568</v>
      </c>
      <c r="D118" s="114">
        <v>45266</v>
      </c>
      <c r="E118" s="115" t="s">
        <v>107</v>
      </c>
      <c r="F118" s="114" t="s">
        <v>569</v>
      </c>
      <c r="G118" s="114" t="s">
        <v>569</v>
      </c>
      <c r="H118" s="110">
        <v>50000</v>
      </c>
      <c r="I118" s="110" t="s">
        <v>295</v>
      </c>
      <c r="J118" s="118" t="s">
        <v>139</v>
      </c>
      <c r="K118" s="110">
        <v>67000</v>
      </c>
      <c r="L118" s="110" t="s">
        <v>151</v>
      </c>
      <c r="M118" s="110"/>
      <c r="N118" s="146"/>
      <c r="O118" s="147">
        <v>0</v>
      </c>
      <c r="P118" s="149"/>
      <c r="Q118" s="149"/>
      <c r="R118" s="149"/>
      <c r="S118" s="149"/>
      <c r="T118" s="149"/>
      <c r="U118" s="149"/>
      <c r="V118" s="149"/>
      <c r="W118" s="110"/>
      <c r="X118" s="110">
        <f>IF(L118="הפך להזמנה",(N118-#REF!),0)</f>
        <v>0</v>
      </c>
    </row>
    <row r="119" spans="1:24" ht="13.15" hidden="1">
      <c r="A119" s="67">
        <v>300010281</v>
      </c>
      <c r="B119" s="3" t="s">
        <v>570</v>
      </c>
      <c r="C119" s="135" t="s">
        <v>571</v>
      </c>
      <c r="D119" s="114">
        <v>45271</v>
      </c>
      <c r="E119" s="115" t="s">
        <v>144</v>
      </c>
      <c r="F119" s="114" t="s">
        <v>112</v>
      </c>
      <c r="G119" s="114" t="s">
        <v>572</v>
      </c>
      <c r="H119" s="110">
        <v>32000</v>
      </c>
      <c r="I119" s="110" t="s">
        <v>295</v>
      </c>
      <c r="J119" s="118" t="s">
        <v>139</v>
      </c>
      <c r="K119" s="110">
        <v>32000</v>
      </c>
      <c r="L119" s="110" t="s">
        <v>297</v>
      </c>
      <c r="M119" s="110"/>
      <c r="N119" s="146"/>
      <c r="O119" s="147">
        <v>0</v>
      </c>
      <c r="P119" s="148"/>
      <c r="Q119" s="110"/>
      <c r="R119" s="110"/>
      <c r="S119" s="110"/>
      <c r="T119" s="110"/>
      <c r="U119" s="110"/>
      <c r="V119" s="110"/>
      <c r="W119" s="110"/>
      <c r="X119" s="110">
        <f>IF(L119="הפך להזמנה",(N119-#REF!),0)</f>
        <v>0</v>
      </c>
    </row>
    <row r="120" spans="1:24" ht="13.15" hidden="1">
      <c r="A120" s="67">
        <v>300010282</v>
      </c>
      <c r="B120" s="3" t="s">
        <v>573</v>
      </c>
      <c r="C120" s="135" t="s">
        <v>574</v>
      </c>
      <c r="D120" s="114">
        <v>45271</v>
      </c>
      <c r="E120" s="115" t="s">
        <v>144</v>
      </c>
      <c r="F120" s="114" t="s">
        <v>135</v>
      </c>
      <c r="G120" s="114" t="s">
        <v>575</v>
      </c>
      <c r="H120" s="110">
        <v>2300000</v>
      </c>
      <c r="I120" s="110" t="s">
        <v>295</v>
      </c>
      <c r="J120" s="118" t="s">
        <v>303</v>
      </c>
      <c r="K120" s="110">
        <v>1100000</v>
      </c>
      <c r="L120" s="110" t="s">
        <v>151</v>
      </c>
      <c r="M120" s="110" t="s">
        <v>576</v>
      </c>
      <c r="N120" s="68"/>
      <c r="O120" s="69">
        <v>0</v>
      </c>
      <c r="W120" s="110"/>
      <c r="X120" s="110">
        <f>IF(L120="הפך להזמנה",(N120-#REF!),0)</f>
        <v>0</v>
      </c>
    </row>
    <row r="121" spans="1:24" ht="13.15" hidden="1">
      <c r="A121" s="67">
        <v>300010283</v>
      </c>
      <c r="B121" s="3" t="s">
        <v>577</v>
      </c>
      <c r="C121" s="135" t="s">
        <v>578</v>
      </c>
      <c r="D121" s="114">
        <v>45272</v>
      </c>
      <c r="E121" s="115" t="s">
        <v>150</v>
      </c>
      <c r="F121" s="114" t="s">
        <v>150</v>
      </c>
      <c r="G121" s="114" t="s">
        <v>579</v>
      </c>
      <c r="H121" s="110">
        <v>200000</v>
      </c>
      <c r="I121" s="110" t="s">
        <v>295</v>
      </c>
      <c r="J121" s="118" t="s">
        <v>139</v>
      </c>
      <c r="K121" s="110">
        <v>193000</v>
      </c>
      <c r="L121" s="110" t="s">
        <v>151</v>
      </c>
      <c r="M121" s="110"/>
      <c r="N121" s="146"/>
      <c r="O121" s="147">
        <v>0</v>
      </c>
      <c r="P121" s="148"/>
      <c r="Q121" s="148"/>
      <c r="R121" s="148"/>
      <c r="S121" s="148"/>
      <c r="T121" s="148"/>
      <c r="U121" s="148"/>
      <c r="V121" s="148"/>
      <c r="W121" s="110"/>
      <c r="X121" s="110">
        <f>IF(L121="הפך להזמנה",(N121-#REF!),0)</f>
        <v>0</v>
      </c>
    </row>
    <row r="122" spans="1:24" ht="13.15" hidden="1">
      <c r="A122" s="67">
        <v>300010284</v>
      </c>
      <c r="B122" s="3" t="s">
        <v>580</v>
      </c>
      <c r="C122" s="135" t="s">
        <v>581</v>
      </c>
      <c r="D122" s="114"/>
      <c r="E122" s="115"/>
      <c r="F122" s="114"/>
      <c r="G122" s="110"/>
      <c r="H122" s="110"/>
      <c r="I122" s="110"/>
      <c r="J122" s="118" t="s">
        <v>139</v>
      </c>
      <c r="K122" s="110">
        <v>0</v>
      </c>
      <c r="L122" s="110" t="s">
        <v>297</v>
      </c>
      <c r="M122" s="110"/>
      <c r="N122" s="68"/>
      <c r="O122" s="69">
        <v>0</v>
      </c>
      <c r="W122" s="110"/>
      <c r="X122" s="110">
        <f>IF(L122="הפך להזמנה",(N122-#REF!),0)</f>
        <v>0</v>
      </c>
    </row>
    <row r="123" spans="1:24" ht="12.75" hidden="1" customHeight="1">
      <c r="A123" s="67">
        <v>300010276</v>
      </c>
      <c r="B123" s="3" t="s">
        <v>582</v>
      </c>
      <c r="C123" s="135" t="s">
        <v>583</v>
      </c>
      <c r="D123" s="114">
        <v>45260</v>
      </c>
      <c r="E123" s="115" t="s">
        <v>107</v>
      </c>
      <c r="F123" s="114" t="s">
        <v>107</v>
      </c>
      <c r="G123" s="114" t="s">
        <v>429</v>
      </c>
      <c r="H123" s="110">
        <v>750000</v>
      </c>
      <c r="I123" s="110" t="s">
        <v>295</v>
      </c>
      <c r="J123" s="118" t="s">
        <v>139</v>
      </c>
      <c r="K123" s="110">
        <v>650000</v>
      </c>
      <c r="L123" s="110" t="s">
        <v>297</v>
      </c>
      <c r="M123" s="110"/>
      <c r="N123" s="249"/>
      <c r="O123" s="250">
        <v>0</v>
      </c>
      <c r="P123" s="251"/>
      <c r="Q123" s="110"/>
      <c r="R123" s="110"/>
      <c r="S123" s="110"/>
      <c r="T123" s="110"/>
      <c r="U123" s="110"/>
      <c r="V123" s="110"/>
      <c r="W123" s="110"/>
      <c r="X123" s="110">
        <f>IF(L123="הפך להזמנה",(N123-#REF!),0)</f>
        <v>0</v>
      </c>
    </row>
    <row r="124" spans="1:24" s="332" customFormat="1" ht="12.75" customHeight="1">
      <c r="A124" s="67">
        <v>300010304</v>
      </c>
      <c r="B124" s="3" t="s">
        <v>584</v>
      </c>
      <c r="C124" s="135" t="str">
        <f t="shared" ref="C124:C153" si="30">A124&amp;"-"&amp;B124</f>
        <v>300010304-משטרת שפרעם</v>
      </c>
      <c r="D124" s="114">
        <v>45319</v>
      </c>
      <c r="E124" s="114"/>
      <c r="F124" s="115" t="s">
        <v>476</v>
      </c>
      <c r="G124" s="114" t="s">
        <v>585</v>
      </c>
      <c r="H124" s="116"/>
      <c r="I124" s="117"/>
      <c r="J124" s="110" t="s">
        <v>139</v>
      </c>
      <c r="K124" s="110">
        <v>63000</v>
      </c>
      <c r="L124" s="110" t="s">
        <v>297</v>
      </c>
      <c r="M124" s="118" t="s">
        <v>586</v>
      </c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>
        <f>IF(L124="הפך להזמנה",(N124-#REF!),0)</f>
        <v>0</v>
      </c>
    </row>
    <row r="125" spans="1:24" ht="12.75" hidden="1" customHeight="1">
      <c r="A125" s="67">
        <v>300010287</v>
      </c>
      <c r="B125" s="3" t="s">
        <v>587</v>
      </c>
      <c r="C125" s="135" t="str">
        <f t="shared" si="30"/>
        <v>300010287-מקורות אשקלון</v>
      </c>
      <c r="D125" s="114">
        <v>45283</v>
      </c>
      <c r="E125" s="114"/>
      <c r="F125" s="115" t="s">
        <v>107</v>
      </c>
      <c r="G125" s="114" t="s">
        <v>588</v>
      </c>
      <c r="H125" s="116"/>
      <c r="I125" s="117"/>
      <c r="J125" s="110" t="s">
        <v>102</v>
      </c>
      <c r="K125" s="110">
        <v>88000</v>
      </c>
      <c r="L125" s="110" t="s">
        <v>297</v>
      </c>
      <c r="M125" s="118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>
        <f>IF(L125="הפך להזמנה",(N125-#REF!),0)</f>
        <v>0</v>
      </c>
    </row>
    <row r="126" spans="1:24" ht="12.75" hidden="1" customHeight="1">
      <c r="A126" s="67">
        <v>300010286</v>
      </c>
      <c r="B126" s="3" t="s">
        <v>589</v>
      </c>
      <c r="C126" s="135" t="str">
        <f t="shared" si="30"/>
        <v>300010286-מיגון כוכב הירדן</v>
      </c>
      <c r="D126" s="114">
        <v>45283</v>
      </c>
      <c r="E126" s="114"/>
      <c r="F126" s="115" t="s">
        <v>185</v>
      </c>
      <c r="G126" s="114" t="s">
        <v>590</v>
      </c>
      <c r="H126" s="116"/>
      <c r="I126" s="117"/>
      <c r="J126" s="110" t="s">
        <v>139</v>
      </c>
      <c r="K126" s="110">
        <v>55000</v>
      </c>
      <c r="L126" s="110" t="s">
        <v>151</v>
      </c>
      <c r="M126" s="118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>
        <f>IF(L126="הפך להזמנה",(N126-#REF!),0)</f>
        <v>0</v>
      </c>
    </row>
    <row r="127" spans="1:24" ht="26.45" hidden="1">
      <c r="A127" s="67">
        <v>300010288</v>
      </c>
      <c r="B127" s="3" t="s">
        <v>591</v>
      </c>
      <c r="C127" s="135" t="str">
        <f t="shared" si="30"/>
        <v>300010288-משרד הביטחון שו"ב</v>
      </c>
      <c r="D127" s="114">
        <v>45283</v>
      </c>
      <c r="E127" s="114"/>
      <c r="F127" s="115" t="s">
        <v>144</v>
      </c>
      <c r="G127" s="114" t="s">
        <v>318</v>
      </c>
      <c r="H127" s="116"/>
      <c r="I127" s="117"/>
      <c r="J127" s="110" t="s">
        <v>139</v>
      </c>
      <c r="K127" s="110">
        <v>24000</v>
      </c>
      <c r="L127" s="110" t="s">
        <v>151</v>
      </c>
      <c r="M127" s="118" t="s">
        <v>418</v>
      </c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>
        <f>IF(L127="הפך להזמנה",(N127-#REF!),0)</f>
        <v>0</v>
      </c>
    </row>
    <row r="128" spans="1:24" ht="13.15" hidden="1">
      <c r="A128" s="67">
        <v>300010289</v>
      </c>
      <c r="B128" s="3" t="s">
        <v>142</v>
      </c>
      <c r="C128" s="135" t="str">
        <f t="shared" si="30"/>
        <v>300010289-הפניקס</v>
      </c>
      <c r="D128" s="114">
        <v>45283</v>
      </c>
      <c r="E128" s="114"/>
      <c r="F128" s="115" t="s">
        <v>144</v>
      </c>
      <c r="G128" s="114" t="s">
        <v>318</v>
      </c>
      <c r="H128" s="116"/>
      <c r="I128" s="117"/>
      <c r="J128" s="110" t="s">
        <v>139</v>
      </c>
      <c r="K128" s="110">
        <v>550000</v>
      </c>
      <c r="L128" s="110" t="s">
        <v>151</v>
      </c>
      <c r="M128" s="118"/>
      <c r="N128" s="110">
        <v>0</v>
      </c>
      <c r="O128" s="110">
        <f>K128-N128</f>
        <v>550000</v>
      </c>
      <c r="P128" s="110" t="s">
        <v>301</v>
      </c>
      <c r="Q128" s="110">
        <f>IF(L128="נתקבלה פנייה",K128,0)</f>
        <v>0</v>
      </c>
      <c r="R128" s="110">
        <f>IF(L128="יצאה הצעת מחיר",K128,0)</f>
        <v>0</v>
      </c>
      <c r="S128" s="110">
        <f>IF(L128="משא ומתן",K128,0)</f>
        <v>0</v>
      </c>
      <c r="T128" s="110">
        <f>IF(L128="ממתין להזמנה",K128,0)</f>
        <v>0</v>
      </c>
      <c r="U128" s="110">
        <f>IF(L128="התקבלה הזמנה",K128,0)</f>
        <v>550000</v>
      </c>
      <c r="V128" s="110">
        <f>IF(L128="נפל",K128,0)</f>
        <v>0</v>
      </c>
      <c r="W128" s="110">
        <f>IF(L128="הסתיים",K128,0)</f>
        <v>0</v>
      </c>
      <c r="X128" s="110">
        <f>IF(L128="הפך להזמנה",(N128-#REF!),0)</f>
        <v>0</v>
      </c>
    </row>
    <row r="129" spans="1:24" ht="13.15" hidden="1">
      <c r="A129" s="67">
        <v>300010290</v>
      </c>
      <c r="B129" s="3" t="s">
        <v>592</v>
      </c>
      <c r="C129" s="135" t="str">
        <f t="shared" si="30"/>
        <v>300010290-לקמפוס של דסקונט כאל</v>
      </c>
      <c r="D129" s="114">
        <v>45287</v>
      </c>
      <c r="E129" s="114"/>
      <c r="F129" s="115" t="s">
        <v>144</v>
      </c>
      <c r="G129" s="114" t="s">
        <v>318</v>
      </c>
      <c r="H129" s="116"/>
      <c r="I129" s="117"/>
      <c r="J129" s="110" t="s">
        <v>139</v>
      </c>
      <c r="K129" s="110">
        <v>106000</v>
      </c>
      <c r="L129" s="110" t="s">
        <v>151</v>
      </c>
      <c r="M129" s="118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>
        <f>IF(L129="הפך להזמנה",(N129-#REF!),0)</f>
        <v>0</v>
      </c>
    </row>
    <row r="130" spans="1:24" ht="13.15" hidden="1">
      <c r="A130" s="67">
        <v>300010293</v>
      </c>
      <c r="B130" s="3" t="s">
        <v>593</v>
      </c>
      <c r="C130" s="135" t="str">
        <f t="shared" si="30"/>
        <v>300010293-אשקלון שו"ב</v>
      </c>
      <c r="D130" s="114">
        <v>45292</v>
      </c>
      <c r="E130" s="114"/>
      <c r="F130" s="115"/>
      <c r="G130" s="114"/>
      <c r="H130" s="116"/>
      <c r="I130" s="117"/>
      <c r="J130" s="110" t="s">
        <v>139</v>
      </c>
      <c r="K130" s="110"/>
      <c r="L130" s="110" t="s">
        <v>297</v>
      </c>
      <c r="M130" s="118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>
        <f>IF(L130="הפך להזמנה",(N130-#REF!),0)</f>
        <v>0</v>
      </c>
    </row>
    <row r="131" spans="1:24" ht="13.15" hidden="1">
      <c r="A131" s="67">
        <v>300010294</v>
      </c>
      <c r="B131" s="3" t="s">
        <v>594</v>
      </c>
      <c r="C131" s="135" t="str">
        <f t="shared" si="30"/>
        <v xml:space="preserve">300010294-ניר עוז </v>
      </c>
      <c r="D131" s="114">
        <v>44933</v>
      </c>
      <c r="E131" s="114"/>
      <c r="F131" s="115" t="s">
        <v>185</v>
      </c>
      <c r="G131" s="114" t="s">
        <v>405</v>
      </c>
      <c r="H131" s="116"/>
      <c r="I131" s="117"/>
      <c r="J131" s="110" t="s">
        <v>139</v>
      </c>
      <c r="K131" s="110">
        <v>55000</v>
      </c>
      <c r="L131" s="110" t="s">
        <v>297</v>
      </c>
      <c r="M131" s="118" t="s">
        <v>595</v>
      </c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>
        <f>IF(L131="הפך להזמנה",(N131-#REF!),0)</f>
        <v>0</v>
      </c>
    </row>
    <row r="132" spans="1:24" ht="13.15" hidden="1">
      <c r="A132" s="67">
        <v>300010291</v>
      </c>
      <c r="B132" s="3" t="s">
        <v>596</v>
      </c>
      <c r="C132" s="135" t="str">
        <f t="shared" si="30"/>
        <v>300010291-שפע HP</v>
      </c>
      <c r="D132" s="114">
        <v>45287</v>
      </c>
      <c r="E132" s="114"/>
      <c r="F132" s="115" t="s">
        <v>199</v>
      </c>
      <c r="G132" s="114" t="s">
        <v>597</v>
      </c>
      <c r="H132" s="116"/>
      <c r="I132" s="117"/>
      <c r="J132" s="110" t="s">
        <v>139</v>
      </c>
      <c r="K132" s="110">
        <v>124000</v>
      </c>
      <c r="L132" s="110" t="s">
        <v>151</v>
      </c>
      <c r="M132" s="118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>
        <f>IF(L132="הפך להזמנה",(N132-#REF!),0)</f>
        <v>0</v>
      </c>
    </row>
    <row r="133" spans="1:24" ht="13.15" hidden="1">
      <c r="A133" s="67">
        <v>300010296</v>
      </c>
      <c r="B133" s="3" t="s">
        <v>598</v>
      </c>
      <c r="C133" s="135" t="str">
        <f t="shared" si="30"/>
        <v>300010296-מרכז בישול גונן</v>
      </c>
      <c r="D133" s="114">
        <v>45299</v>
      </c>
      <c r="E133" s="114"/>
      <c r="F133" s="115" t="s">
        <v>112</v>
      </c>
      <c r="G133" s="114" t="s">
        <v>321</v>
      </c>
      <c r="H133" s="116"/>
      <c r="I133" s="117"/>
      <c r="J133" s="110" t="s">
        <v>139</v>
      </c>
      <c r="K133" s="110">
        <v>270000</v>
      </c>
      <c r="L133" s="110" t="s">
        <v>297</v>
      </c>
      <c r="M133" s="118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>
        <f>IF(L133="הפך להזמנה",(N133-#REF!),0)</f>
        <v>0</v>
      </c>
    </row>
    <row r="134" spans="1:24" ht="13.15" hidden="1">
      <c r="A134" s="67">
        <v>300010295</v>
      </c>
      <c r="B134" s="3" t="s">
        <v>599</v>
      </c>
      <c r="C134" s="135" t="str">
        <f t="shared" si="30"/>
        <v>300010295-צימפיון מוטורס</v>
      </c>
      <c r="D134" s="114">
        <v>45299</v>
      </c>
      <c r="E134" s="114"/>
      <c r="F134" s="115" t="s">
        <v>600</v>
      </c>
      <c r="G134" s="114" t="s">
        <v>601</v>
      </c>
      <c r="H134" s="116"/>
      <c r="I134" s="117"/>
      <c r="J134" s="110" t="s">
        <v>139</v>
      </c>
      <c r="K134" s="110">
        <v>77000</v>
      </c>
      <c r="L134" s="110" t="s">
        <v>151</v>
      </c>
      <c r="M134" s="118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>
        <f>IF(L134="הפך להזמנה",(N134-#REF!),0)</f>
        <v>0</v>
      </c>
    </row>
    <row r="135" spans="1:24" ht="12.75" hidden="1" customHeight="1">
      <c r="A135" s="67">
        <v>300010298</v>
      </c>
      <c r="B135" s="3" t="s">
        <v>602</v>
      </c>
      <c r="C135" s="135" t="str">
        <f t="shared" si="30"/>
        <v>300010298- דיור מוגן עד 120- מוצקין</v>
      </c>
      <c r="D135" s="114">
        <v>45307</v>
      </c>
      <c r="E135" s="114"/>
      <c r="F135" s="115" t="s">
        <v>112</v>
      </c>
      <c r="G135" s="114" t="s">
        <v>321</v>
      </c>
      <c r="H135" s="116"/>
      <c r="I135" s="117"/>
      <c r="J135" s="110" t="s">
        <v>139</v>
      </c>
      <c r="K135" s="110">
        <v>125700</v>
      </c>
      <c r="L135" s="110" t="s">
        <v>297</v>
      </c>
      <c r="M135" s="118"/>
      <c r="N135" s="110">
        <v>0</v>
      </c>
      <c r="O135" s="110">
        <f>K135-N135</f>
        <v>125700</v>
      </c>
      <c r="P135" s="110" t="s">
        <v>301</v>
      </c>
      <c r="Q135" s="110">
        <f>IF(L135="נתקבלה פנייה",K135,0)</f>
        <v>0</v>
      </c>
      <c r="R135" s="110">
        <f>IF(L135="יצאה הצעת מחיר",K135,0)</f>
        <v>0</v>
      </c>
      <c r="S135" s="110">
        <f>IF(L135="משא ומתן",K135,0)</f>
        <v>0</v>
      </c>
      <c r="T135" s="110">
        <f>IF(L135="ממתין להזמנה",K135,0)</f>
        <v>0</v>
      </c>
      <c r="U135" s="110">
        <f>IF(L135="התקבלה הזמנה",K135,0)</f>
        <v>0</v>
      </c>
      <c r="V135" s="110">
        <f>IF(L135="נפל",K135,0)</f>
        <v>125700</v>
      </c>
      <c r="W135" s="110">
        <f>IF(L135="הסתיים",K135,0)</f>
        <v>0</v>
      </c>
      <c r="X135" s="110">
        <f>IF(L135="הפך להזמנה",(N135-#REF!),0)</f>
        <v>0</v>
      </c>
    </row>
    <row r="136" spans="1:24" ht="12.75" hidden="1" customHeight="1">
      <c r="A136" s="67">
        <v>300010297</v>
      </c>
      <c r="B136" s="3" t="s">
        <v>603</v>
      </c>
      <c r="C136" s="135" t="str">
        <f t="shared" si="30"/>
        <v xml:space="preserve">300010297-אינטרגרין 3 </v>
      </c>
      <c r="D136" s="114">
        <v>45299</v>
      </c>
      <c r="E136" s="114"/>
      <c r="F136" s="115" t="s">
        <v>107</v>
      </c>
      <c r="G136" s="114" t="s">
        <v>604</v>
      </c>
      <c r="H136" s="116"/>
      <c r="I136" s="117"/>
      <c r="J136" s="110" t="s">
        <v>102</v>
      </c>
      <c r="K136" s="110">
        <v>20000</v>
      </c>
      <c r="L136" s="110" t="s">
        <v>151</v>
      </c>
      <c r="M136" s="118"/>
      <c r="N136" s="110">
        <v>0</v>
      </c>
      <c r="O136" s="110">
        <f>K136-N136</f>
        <v>20000</v>
      </c>
      <c r="P136" s="110" t="s">
        <v>301</v>
      </c>
      <c r="Q136" s="110">
        <f>IF(L136="נתקבלה פנייה",K136,0)</f>
        <v>0</v>
      </c>
      <c r="R136" s="110">
        <f>IF(L136="יצאה הצעת מחיר",K136,0)</f>
        <v>0</v>
      </c>
      <c r="S136" s="110">
        <f>IF(L136="משא ומתן",K136,0)</f>
        <v>0</v>
      </c>
      <c r="T136" s="110">
        <f>IF(L136="ממתין להזמנה",K136,0)</f>
        <v>0</v>
      </c>
      <c r="U136" s="110">
        <f>IF(L136="התקבלה הזמנה",K136,0)</f>
        <v>20000</v>
      </c>
      <c r="V136" s="110">
        <f>IF(L136="נפל",K136,0)</f>
        <v>0</v>
      </c>
      <c r="W136" s="110">
        <f>IF(L136="הסתיים",K136,0)</f>
        <v>0</v>
      </c>
      <c r="X136" s="110">
        <f>IF(L136="הפך להזמנה",(N136-#REF!),0)</f>
        <v>0</v>
      </c>
    </row>
    <row r="137" spans="1:24" ht="12.75" hidden="1" customHeight="1">
      <c r="A137" s="67">
        <v>300010300</v>
      </c>
      <c r="B137" s="3" t="s">
        <v>605</v>
      </c>
      <c r="C137" s="135" t="str">
        <f t="shared" si="30"/>
        <v>300010300-קרית הממשלה נתניה</v>
      </c>
      <c r="D137" s="114">
        <v>45307</v>
      </c>
      <c r="E137" s="114"/>
      <c r="F137" s="115" t="s">
        <v>144</v>
      </c>
      <c r="G137" s="114" t="s">
        <v>606</v>
      </c>
      <c r="H137" s="116"/>
      <c r="I137" s="117"/>
      <c r="J137" s="110" t="s">
        <v>139</v>
      </c>
      <c r="K137" s="110">
        <v>273898</v>
      </c>
      <c r="L137" s="110" t="s">
        <v>151</v>
      </c>
      <c r="M137" s="118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>
        <f>IF(L137="הפך להזמנה",(N137-#REF!),0)</f>
        <v>0</v>
      </c>
    </row>
    <row r="138" spans="1:24" ht="12" hidden="1" customHeight="1">
      <c r="A138" s="67">
        <v>300010301</v>
      </c>
      <c r="B138" s="3" t="s">
        <v>607</v>
      </c>
      <c r="C138" s="135" t="str">
        <f t="shared" si="30"/>
        <v>300010301-קניון פתח תקווה</v>
      </c>
      <c r="D138" s="114">
        <v>45308</v>
      </c>
      <c r="E138" s="114"/>
      <c r="F138" s="115" t="s">
        <v>196</v>
      </c>
      <c r="G138" s="114" t="s">
        <v>310</v>
      </c>
      <c r="H138" s="116"/>
      <c r="I138" s="117"/>
      <c r="J138" s="110" t="s">
        <v>139</v>
      </c>
      <c r="K138" s="110">
        <v>707000</v>
      </c>
      <c r="L138" s="110" t="s">
        <v>297</v>
      </c>
      <c r="M138" s="118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>
        <f>IF(L138="הפך להזמנה",(N138-#REF!),0)</f>
        <v>0</v>
      </c>
    </row>
    <row r="139" spans="1:24" ht="12.75" hidden="1" customHeight="1">
      <c r="A139" s="67">
        <v>300010302</v>
      </c>
      <c r="B139" s="3" t="s">
        <v>608</v>
      </c>
      <c r="C139" s="135" t="str">
        <f t="shared" si="30"/>
        <v>300010302-ביג אשדוד</v>
      </c>
      <c r="D139" s="114">
        <v>45314</v>
      </c>
      <c r="E139" s="114"/>
      <c r="F139" s="115" t="s">
        <v>609</v>
      </c>
      <c r="G139" s="114" t="s">
        <v>610</v>
      </c>
      <c r="H139" s="116"/>
      <c r="I139" s="117"/>
      <c r="J139" s="110" t="s">
        <v>108</v>
      </c>
      <c r="K139" s="110">
        <v>20000</v>
      </c>
      <c r="L139" s="110" t="s">
        <v>151</v>
      </c>
      <c r="M139" s="118" t="s">
        <v>611</v>
      </c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>
        <f>IF(L139="הפך להזמנה",(N139-#REF!),0)</f>
        <v>0</v>
      </c>
    </row>
    <row r="140" spans="1:24" ht="12.75" hidden="1" customHeight="1">
      <c r="A140" s="67">
        <v>300010303</v>
      </c>
      <c r="B140" s="3" t="s">
        <v>612</v>
      </c>
      <c r="C140" s="135" t="str">
        <f t="shared" si="30"/>
        <v>300010303-עמדת קיוסק מגדלי TOHA</v>
      </c>
      <c r="D140" s="114">
        <v>45315</v>
      </c>
      <c r="E140" s="114"/>
      <c r="F140" s="115" t="s">
        <v>107</v>
      </c>
      <c r="G140" s="114" t="s">
        <v>613</v>
      </c>
      <c r="H140" s="116"/>
      <c r="I140" s="117"/>
      <c r="J140" s="110" t="s">
        <v>303</v>
      </c>
      <c r="K140" s="110">
        <v>47000</v>
      </c>
      <c r="L140" s="110" t="s">
        <v>297</v>
      </c>
      <c r="M140" s="118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>
        <f>IF(L140="הפך להזמנה",(N140-#REF!),0)</f>
        <v>0</v>
      </c>
    </row>
    <row r="141" spans="1:24" ht="13.5" hidden="1" customHeight="1">
      <c r="A141" s="252">
        <v>300010299</v>
      </c>
      <c r="B141" s="3" t="s">
        <v>614</v>
      </c>
      <c r="C141" s="135" t="str">
        <f t="shared" si="30"/>
        <v>300010299-מטרוטק - בקרת מבנה</v>
      </c>
      <c r="D141" s="114">
        <v>45307</v>
      </c>
      <c r="E141" s="114"/>
      <c r="F141" s="115" t="s">
        <v>101</v>
      </c>
      <c r="G141" s="114" t="s">
        <v>392</v>
      </c>
      <c r="H141" s="116"/>
      <c r="I141" s="117"/>
      <c r="J141" s="110" t="s">
        <v>102</v>
      </c>
      <c r="K141" s="110">
        <v>130000</v>
      </c>
      <c r="L141" s="110" t="s">
        <v>297</v>
      </c>
      <c r="M141" s="118" t="s">
        <v>615</v>
      </c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>
        <f>IF(L141="הפך להזמנה",(N141-#REF!),0)</f>
        <v>0</v>
      </c>
    </row>
    <row r="142" spans="1:24" ht="12.75" hidden="1" customHeight="1">
      <c r="A142" s="67">
        <v>300010305</v>
      </c>
      <c r="B142" s="3" t="s">
        <v>616</v>
      </c>
      <c r="C142" s="135" t="str">
        <f t="shared" si="30"/>
        <v>300010305-בניין סיבים איחוד מערכות</v>
      </c>
      <c r="D142" s="114">
        <v>45320</v>
      </c>
      <c r="E142" s="114"/>
      <c r="F142" s="115" t="s">
        <v>207</v>
      </c>
      <c r="G142" s="114" t="s">
        <v>338</v>
      </c>
      <c r="H142" s="116"/>
      <c r="I142" s="117"/>
      <c r="J142" s="110" t="s">
        <v>108</v>
      </c>
      <c r="K142" s="110">
        <v>75000</v>
      </c>
      <c r="L142" s="110" t="s">
        <v>297</v>
      </c>
      <c r="M142" s="118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>
        <f>IF(L142="הפך להזמנה",(N142-#REF!),0)</f>
        <v>0</v>
      </c>
    </row>
    <row r="143" spans="1:24" ht="12.75" customHeight="1">
      <c r="A143" s="265">
        <v>300010306</v>
      </c>
      <c r="B143" s="3" t="s">
        <v>617</v>
      </c>
      <c r="C143" s="135" t="str">
        <f t="shared" si="30"/>
        <v>300010306-מרלוג H&amp;M</v>
      </c>
      <c r="D143" s="114">
        <v>45322</v>
      </c>
      <c r="E143" s="114"/>
      <c r="F143" s="115" t="s">
        <v>107</v>
      </c>
      <c r="G143" s="114" t="s">
        <v>618</v>
      </c>
      <c r="H143" s="116"/>
      <c r="I143" s="117"/>
      <c r="J143" s="110" t="s">
        <v>108</v>
      </c>
      <c r="K143" s="110">
        <v>250000</v>
      </c>
      <c r="L143" s="110" t="s">
        <v>296</v>
      </c>
      <c r="M143" s="118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>
        <f>IF(L143="הפך להזמנה",(N143-#REF!),0)</f>
        <v>0</v>
      </c>
    </row>
    <row r="144" spans="1:24" ht="12.75" hidden="1" customHeight="1">
      <c r="A144" s="67">
        <v>300010307</v>
      </c>
      <c r="B144" s="3" t="s">
        <v>619</v>
      </c>
      <c r="C144" s="135" t="str">
        <f t="shared" si="30"/>
        <v>300010307-בורסת היהלומים</v>
      </c>
      <c r="D144" s="114">
        <v>45323</v>
      </c>
      <c r="E144" s="114"/>
      <c r="F144" s="115" t="s">
        <v>144</v>
      </c>
      <c r="G144" s="114" t="s">
        <v>318</v>
      </c>
      <c r="H144" s="116"/>
      <c r="I144" s="117"/>
      <c r="J144" s="110" t="s">
        <v>139</v>
      </c>
      <c r="K144" s="110">
        <v>500000</v>
      </c>
      <c r="L144" s="110" t="s">
        <v>297</v>
      </c>
      <c r="M144" s="118" t="s">
        <v>620</v>
      </c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>
        <f>IF(L144="הפך להזמנה",(N144-#REF!),0)</f>
        <v>0</v>
      </c>
    </row>
    <row r="145" spans="1:24" ht="12.75" customHeight="1">
      <c r="A145" s="67">
        <v>300010308</v>
      </c>
      <c r="B145" s="5" t="s">
        <v>621</v>
      </c>
      <c r="C145" s="150" t="str">
        <f t="shared" si="30"/>
        <v>300010308-מכרז מרכזי להוספת שירותים לשוק הדיגיטלי הממשלתי בענן (רובד 5)</v>
      </c>
      <c r="D145" s="114"/>
      <c r="E145" s="114"/>
      <c r="F145" s="115"/>
      <c r="G145" s="114"/>
      <c r="H145" s="116"/>
      <c r="I145" s="117"/>
      <c r="J145" s="110"/>
      <c r="K145" s="110"/>
      <c r="L145" s="110" t="s">
        <v>294</v>
      </c>
      <c r="M145" s="118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>
        <f>IF(L145="הפך להזמנה",(N145-#REF!),0)</f>
        <v>0</v>
      </c>
    </row>
    <row r="146" spans="1:24" ht="12.75" hidden="1" customHeight="1">
      <c r="A146" s="67">
        <v>300010309</v>
      </c>
      <c r="B146" s="3" t="s">
        <v>622</v>
      </c>
      <c r="C146" s="135" t="str">
        <f t="shared" si="30"/>
        <v>300010309-מגדלי עלית שוב</v>
      </c>
      <c r="D146" s="114">
        <v>45328</v>
      </c>
      <c r="E146" s="114"/>
      <c r="F146" s="115" t="s">
        <v>107</v>
      </c>
      <c r="G146" s="114" t="s">
        <v>623</v>
      </c>
      <c r="H146" s="116"/>
      <c r="I146" s="117"/>
      <c r="J146" s="110" t="s">
        <v>139</v>
      </c>
      <c r="K146" s="110">
        <v>33000</v>
      </c>
      <c r="L146" s="110" t="s">
        <v>297</v>
      </c>
      <c r="M146" s="118" t="s">
        <v>624</v>
      </c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>
        <f>IF(L146="הפך להזמנה",(N146-#REF!),0)</f>
        <v>0</v>
      </c>
    </row>
    <row r="147" spans="1:24" ht="12.75" customHeight="1">
      <c r="A147" s="67">
        <v>300010310</v>
      </c>
      <c r="B147" s="3" t="s">
        <v>625</v>
      </c>
      <c r="C147" s="135" t="str">
        <f t="shared" si="30"/>
        <v>300010310-אשלים PLOT A</v>
      </c>
      <c r="D147" s="114">
        <v>45335</v>
      </c>
      <c r="E147" s="114"/>
      <c r="F147" s="115" t="s">
        <v>609</v>
      </c>
      <c r="G147" s="114" t="s">
        <v>626</v>
      </c>
      <c r="H147" s="116"/>
      <c r="I147" s="117"/>
      <c r="J147" s="110" t="s">
        <v>139</v>
      </c>
      <c r="K147" s="110">
        <v>100000</v>
      </c>
      <c r="L147" s="110" t="s">
        <v>295</v>
      </c>
      <c r="M147" s="118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>
        <f>IF(L147="הפך להזמנה",(N147-#REF!),0)</f>
        <v>0</v>
      </c>
    </row>
    <row r="148" spans="1:24" ht="12.75" hidden="1" customHeight="1">
      <c r="A148" s="67">
        <v>300010311</v>
      </c>
      <c r="B148" s="3" t="s">
        <v>627</v>
      </c>
      <c r="C148" s="135" t="str">
        <f t="shared" si="30"/>
        <v>300010311-פיס חולון ביטחון</v>
      </c>
      <c r="D148" s="114">
        <v>45339</v>
      </c>
      <c r="E148" s="114"/>
      <c r="F148" s="115" t="s">
        <v>112</v>
      </c>
      <c r="G148" s="114" t="s">
        <v>344</v>
      </c>
      <c r="H148" s="116"/>
      <c r="I148" s="117"/>
      <c r="J148" s="110" t="s">
        <v>139</v>
      </c>
      <c r="K148" s="110"/>
      <c r="L148" s="110" t="s">
        <v>297</v>
      </c>
      <c r="M148" s="118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>
        <f>IF(L148="הפך להזמנה",(N148-#REF!),0)</f>
        <v>0</v>
      </c>
    </row>
    <row r="149" spans="1:24" ht="12.75" hidden="1" customHeight="1">
      <c r="A149" s="67">
        <v>300010312</v>
      </c>
      <c r="B149" s="3" t="s">
        <v>628</v>
      </c>
      <c r="C149" s="135" t="str">
        <f t="shared" si="30"/>
        <v>300010312-אצטדיון כרמי גת</v>
      </c>
      <c r="D149" s="114">
        <v>45339</v>
      </c>
      <c r="E149" s="114"/>
      <c r="F149" s="115" t="s">
        <v>112</v>
      </c>
      <c r="G149" s="114" t="s">
        <v>344</v>
      </c>
      <c r="H149" s="116"/>
      <c r="I149" s="117"/>
      <c r="J149" s="110" t="s">
        <v>139</v>
      </c>
      <c r="K149" s="110"/>
      <c r="L149" s="110" t="s">
        <v>297</v>
      </c>
      <c r="M149" s="118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>
        <f>IF(L149="הפך להזמנה",(N149-#REF!),0)</f>
        <v>0</v>
      </c>
    </row>
    <row r="150" spans="1:24" ht="12.75" hidden="1" customHeight="1">
      <c r="A150" s="67">
        <v>300010313</v>
      </c>
      <c r="B150" s="3" t="s">
        <v>629</v>
      </c>
      <c r="C150" s="135" t="str">
        <f t="shared" si="30"/>
        <v>300010313-קמפוס עין כרם</v>
      </c>
      <c r="D150" s="114">
        <v>45343</v>
      </c>
      <c r="E150" s="114"/>
      <c r="F150" s="115" t="s">
        <v>107</v>
      </c>
      <c r="G150" s="114" t="s">
        <v>630</v>
      </c>
      <c r="H150" s="116"/>
      <c r="I150" s="117"/>
      <c r="J150" s="110" t="s">
        <v>102</v>
      </c>
      <c r="K150" s="110">
        <v>690000</v>
      </c>
      <c r="L150" s="110" t="s">
        <v>297</v>
      </c>
      <c r="M150" s="145" t="s">
        <v>631</v>
      </c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>
        <f>IF(L150="הפך להזמנה",(N150-#REF!),0)</f>
        <v>0</v>
      </c>
    </row>
    <row r="151" spans="1:24" ht="12.75" hidden="1" customHeight="1">
      <c r="A151" s="67">
        <v>300010314</v>
      </c>
      <c r="B151" s="3" t="s">
        <v>632</v>
      </c>
      <c r="C151" s="135" t="str">
        <f t="shared" si="30"/>
        <v>300010314-אגד בקרת מבנה</v>
      </c>
      <c r="D151" s="114">
        <v>45343</v>
      </c>
      <c r="E151" s="114"/>
      <c r="F151" s="115" t="s">
        <v>196</v>
      </c>
      <c r="G151" s="114" t="s">
        <v>310</v>
      </c>
      <c r="H151" s="116"/>
      <c r="I151" s="117"/>
      <c r="J151" s="110" t="s">
        <v>102</v>
      </c>
      <c r="K151" s="110">
        <v>2800000</v>
      </c>
      <c r="L151" s="110" t="s">
        <v>297</v>
      </c>
      <c r="M151" s="118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>
        <f>IF(L151="הפך להזמנה",(N151-#REF!),0)</f>
        <v>0</v>
      </c>
    </row>
    <row r="152" spans="1:24" ht="14.1" customHeight="1">
      <c r="A152" s="67">
        <v>300010328</v>
      </c>
      <c r="B152" s="3" t="s">
        <v>633</v>
      </c>
      <c r="C152" s="135" t="str">
        <f t="shared" si="30"/>
        <v>300010328-שוב סופרסל</v>
      </c>
      <c r="D152" s="114">
        <v>45372</v>
      </c>
      <c r="E152" s="114"/>
      <c r="F152" s="115" t="s">
        <v>609</v>
      </c>
      <c r="G152" s="114" t="s">
        <v>634</v>
      </c>
      <c r="H152" s="116"/>
      <c r="I152" s="117"/>
      <c r="J152" s="110" t="s">
        <v>139</v>
      </c>
      <c r="K152" s="110">
        <v>50000</v>
      </c>
      <c r="L152" s="110" t="s">
        <v>295</v>
      </c>
      <c r="M152" s="118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>
        <f>IF(L152="הפך להזמנה",(N152-#REF!),0)</f>
        <v>0</v>
      </c>
    </row>
    <row r="153" spans="1:24" ht="12.75" hidden="1" customHeight="1">
      <c r="A153" s="67">
        <v>300010316</v>
      </c>
      <c r="B153" s="3" t="s">
        <v>635</v>
      </c>
      <c r="C153" s="135" t="str">
        <f t="shared" si="30"/>
        <v>300010316-פועלים סנטר</v>
      </c>
      <c r="D153" s="114">
        <v>45346</v>
      </c>
      <c r="E153" s="114"/>
      <c r="F153" s="115" t="s">
        <v>144</v>
      </c>
      <c r="G153" s="114" t="s">
        <v>318</v>
      </c>
      <c r="H153" s="116"/>
      <c r="I153" s="117"/>
      <c r="J153" s="110" t="s">
        <v>139</v>
      </c>
      <c r="K153" s="110">
        <v>250000</v>
      </c>
      <c r="L153" s="110" t="s">
        <v>151</v>
      </c>
      <c r="M153" s="118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>
        <f>IF(L153="הפך להזמנה",(N153-#REF!),0)</f>
        <v>0</v>
      </c>
    </row>
    <row r="154" spans="1:24" ht="12.75" hidden="1" customHeight="1">
      <c r="A154" s="67">
        <v>300010318</v>
      </c>
      <c r="B154" s="3" t="s">
        <v>636</v>
      </c>
      <c r="C154" s="135" t="s">
        <v>637</v>
      </c>
      <c r="D154" s="114">
        <v>45350</v>
      </c>
      <c r="E154" s="115" t="s">
        <v>199</v>
      </c>
      <c r="F154" s="114" t="s">
        <v>199</v>
      </c>
      <c r="G154" s="114" t="s">
        <v>638</v>
      </c>
      <c r="H154" s="110"/>
      <c r="I154" s="110" t="s">
        <v>295</v>
      </c>
      <c r="J154" s="110" t="s">
        <v>154</v>
      </c>
      <c r="K154" s="110">
        <v>72000</v>
      </c>
      <c r="L154" s="110" t="s">
        <v>151</v>
      </c>
      <c r="M154" s="118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>
        <f>IF(L154="הפך להזמנה",(N154-#REF!),0)</f>
        <v>0</v>
      </c>
    </row>
    <row r="155" spans="1:24" ht="12.75" hidden="1" customHeight="1">
      <c r="A155" s="67">
        <v>300010317</v>
      </c>
      <c r="B155" s="3" t="s">
        <v>639</v>
      </c>
      <c r="C155" s="135" t="str">
        <f t="shared" ref="C155:C186" si="31">A155&amp;"-"&amp;B155</f>
        <v>300010317-ג' סיטי - לישנסקי3</v>
      </c>
      <c r="D155" s="114">
        <v>45347</v>
      </c>
      <c r="E155" s="114"/>
      <c r="F155" s="115" t="s">
        <v>199</v>
      </c>
      <c r="G155" s="114" t="s">
        <v>638</v>
      </c>
      <c r="H155" s="116"/>
      <c r="I155" s="117"/>
      <c r="J155" s="110" t="s">
        <v>139</v>
      </c>
      <c r="K155" s="110">
        <f>520000+70000</f>
        <v>590000</v>
      </c>
      <c r="L155" s="110" t="s">
        <v>297</v>
      </c>
      <c r="M155" s="118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>
        <f>IF(L155="הפך להזמנה",(N155-#REF!),0)</f>
        <v>0</v>
      </c>
    </row>
    <row r="156" spans="1:24" ht="12.75" hidden="1" customHeight="1">
      <c r="A156" s="67">
        <v>300010325</v>
      </c>
      <c r="B156" s="3" t="s">
        <v>640</v>
      </c>
      <c r="C156" s="135" t="str">
        <f t="shared" si="31"/>
        <v>300010325-מפטגון שוב משרד</v>
      </c>
      <c r="D156" s="114">
        <v>45361</v>
      </c>
      <c r="E156" s="114"/>
      <c r="F156" s="115" t="s">
        <v>147</v>
      </c>
      <c r="G156" s="114" t="s">
        <v>641</v>
      </c>
      <c r="H156" s="116"/>
      <c r="I156" s="117"/>
      <c r="J156" s="110" t="s">
        <v>139</v>
      </c>
      <c r="K156" s="110">
        <v>75000</v>
      </c>
      <c r="L156" s="110" t="s">
        <v>151</v>
      </c>
      <c r="M156" s="118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>
        <f>IF(L156="הפך להזמנה",(N156-#REF!),0)</f>
        <v>0</v>
      </c>
    </row>
    <row r="157" spans="1:24" ht="12.75" hidden="1" customHeight="1">
      <c r="A157" s="67">
        <v>300010320</v>
      </c>
      <c r="B157" s="3" t="s">
        <v>642</v>
      </c>
      <c r="C157" s="135" t="str">
        <f t="shared" si="31"/>
        <v>300010320-פז מערכת שליטה אש</v>
      </c>
      <c r="D157" s="114">
        <v>45350</v>
      </c>
      <c r="E157" s="114"/>
      <c r="F157" s="115" t="s">
        <v>199</v>
      </c>
      <c r="G157" s="114" t="s">
        <v>638</v>
      </c>
      <c r="H157" s="116"/>
      <c r="I157" s="117"/>
      <c r="J157" s="110" t="s">
        <v>154</v>
      </c>
      <c r="K157" s="110">
        <v>130000</v>
      </c>
      <c r="L157" s="110" t="s">
        <v>297</v>
      </c>
      <c r="M157" s="118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>
        <f>IF(L157="הפך להזמנה",(N157-#REF!),0)</f>
        <v>0</v>
      </c>
    </row>
    <row r="158" spans="1:24" ht="12.75" hidden="1" customHeight="1">
      <c r="A158" s="67">
        <v>300010321</v>
      </c>
      <c r="B158" s="3" t="s">
        <v>643</v>
      </c>
      <c r="C158" s="135" t="str">
        <f t="shared" si="31"/>
        <v>300010321-מחירון קבוצת אשד</v>
      </c>
      <c r="D158" s="114">
        <v>45350</v>
      </c>
      <c r="E158" s="114"/>
      <c r="F158" s="115" t="s">
        <v>107</v>
      </c>
      <c r="G158" s="114" t="s">
        <v>644</v>
      </c>
      <c r="H158" s="116"/>
      <c r="I158" s="117"/>
      <c r="J158" s="110" t="s">
        <v>139</v>
      </c>
      <c r="K158" s="110">
        <v>100000</v>
      </c>
      <c r="L158" s="110" t="s">
        <v>297</v>
      </c>
      <c r="M158" s="118" t="s">
        <v>645</v>
      </c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>
        <f>IF(L158="הפך להזמנה",(N158-#REF!),0)</f>
        <v>0</v>
      </c>
    </row>
    <row r="159" spans="1:24" ht="12.75" hidden="1" customHeight="1">
      <c r="A159" s="67">
        <v>300010326</v>
      </c>
      <c r="B159" s="3" t="s">
        <v>646</v>
      </c>
      <c r="C159" s="135" t="str">
        <f t="shared" si="31"/>
        <v>300010326-שוב לישובי עוטף</v>
      </c>
      <c r="D159" s="114">
        <v>45372</v>
      </c>
      <c r="E159" s="114"/>
      <c r="F159" s="115" t="s">
        <v>150</v>
      </c>
      <c r="G159" s="114" t="s">
        <v>579</v>
      </c>
      <c r="H159" s="116"/>
      <c r="I159" s="117"/>
      <c r="J159" s="110" t="s">
        <v>139</v>
      </c>
      <c r="K159" s="110">
        <v>150000</v>
      </c>
      <c r="L159" s="110" t="s">
        <v>151</v>
      </c>
      <c r="M159" s="118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>
        <f>IF(L159="הפך להזמנה",(N159-#REF!),0)</f>
        <v>0</v>
      </c>
    </row>
    <row r="160" spans="1:24" ht="12.75" customHeight="1">
      <c r="A160" s="67">
        <v>300010339</v>
      </c>
      <c r="B160" s="3" t="s">
        <v>647</v>
      </c>
      <c r="C160" s="135" t="str">
        <f t="shared" si="31"/>
        <v xml:space="preserve">300010339-אנבידיה מבוא כרמל </v>
      </c>
      <c r="D160" s="114">
        <v>45398</v>
      </c>
      <c r="E160" s="114"/>
      <c r="F160" s="115" t="s">
        <v>144</v>
      </c>
      <c r="G160" s="114" t="s">
        <v>318</v>
      </c>
      <c r="H160" s="116"/>
      <c r="I160" s="117"/>
      <c r="J160" s="110" t="s">
        <v>154</v>
      </c>
      <c r="K160" s="110">
        <v>40000</v>
      </c>
      <c r="L160" s="110" t="s">
        <v>295</v>
      </c>
      <c r="M160" s="118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>
        <f>IF(L160="הפך להזמנה",(N160-#REF!),0)</f>
        <v>0</v>
      </c>
    </row>
    <row r="161" spans="1:24" ht="12.75" hidden="1" customHeight="1">
      <c r="A161" s="67">
        <v>300010331</v>
      </c>
      <c r="B161" s="3" t="s">
        <v>648</v>
      </c>
      <c r="C161" s="135" t="str">
        <f t="shared" si="31"/>
        <v>300010331-תוספות קריה</v>
      </c>
      <c r="D161" s="114">
        <v>45376</v>
      </c>
      <c r="E161" s="114"/>
      <c r="F161" s="115" t="s">
        <v>120</v>
      </c>
      <c r="G161" s="114" t="s">
        <v>498</v>
      </c>
      <c r="H161" s="116"/>
      <c r="I161" s="117"/>
      <c r="J161" s="110" t="s">
        <v>139</v>
      </c>
      <c r="K161" s="110">
        <v>200000</v>
      </c>
      <c r="L161" s="110" t="s">
        <v>151</v>
      </c>
      <c r="M161" s="118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>
        <f>IF(L161="הפך להזמנה",(N161-#REF!),0)</f>
        <v>0</v>
      </c>
    </row>
    <row r="162" spans="1:24" ht="13.15" hidden="1">
      <c r="A162" s="67">
        <v>300010333</v>
      </c>
      <c r="B162" s="3" t="s">
        <v>649</v>
      </c>
      <c r="C162" s="135" t="str">
        <f t="shared" si="31"/>
        <v>300010333-קרסו יבנה בקרה</v>
      </c>
      <c r="D162" s="114">
        <v>45384</v>
      </c>
      <c r="E162" s="114"/>
      <c r="F162" s="115" t="s">
        <v>196</v>
      </c>
      <c r="G162" s="114" t="s">
        <v>310</v>
      </c>
      <c r="H162" s="116"/>
      <c r="I162" s="117"/>
      <c r="J162" s="110" t="s">
        <v>108</v>
      </c>
      <c r="K162" s="110">
        <f>70000+150000</f>
        <v>220000</v>
      </c>
      <c r="L162" s="110" t="s">
        <v>151</v>
      </c>
      <c r="M162" s="118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>
        <f>IF(L162="הפך להזמנה",(N162-#REF!),0)</f>
        <v>0</v>
      </c>
    </row>
    <row r="163" spans="1:24" ht="15" hidden="1" customHeight="1">
      <c r="A163" s="67">
        <v>300010315</v>
      </c>
      <c r="B163" s="3" t="s">
        <v>650</v>
      </c>
      <c r="C163" s="135" t="str">
        <f t="shared" si="31"/>
        <v>300010315-מגדל לקסוס ת"א</v>
      </c>
      <c r="D163" s="114">
        <v>45343</v>
      </c>
      <c r="E163" s="114"/>
      <c r="F163" s="115" t="s">
        <v>124</v>
      </c>
      <c r="G163" s="114" t="s">
        <v>651</v>
      </c>
      <c r="H163" s="116"/>
      <c r="I163" s="117"/>
      <c r="J163" s="110" t="s">
        <v>102</v>
      </c>
      <c r="K163" s="110">
        <v>930000</v>
      </c>
      <c r="L163" s="110" t="s">
        <v>297</v>
      </c>
      <c r="M163" s="118" t="s">
        <v>652</v>
      </c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>
        <f>IF(L163="הפך להזמנה",(N163-#REF!),0)</f>
        <v>0</v>
      </c>
    </row>
    <row r="164" spans="1:24" ht="12.75" hidden="1" customHeight="1">
      <c r="A164" s="67">
        <v>300010317</v>
      </c>
      <c r="B164" s="3" t="s">
        <v>650</v>
      </c>
      <c r="C164" s="135" t="str">
        <f t="shared" si="31"/>
        <v>300010317-מגדל לקסוס ת"א</v>
      </c>
      <c r="D164" s="114">
        <v>45350</v>
      </c>
      <c r="E164" s="114"/>
      <c r="F164" s="115" t="s">
        <v>112</v>
      </c>
      <c r="G164" s="114" t="s">
        <v>321</v>
      </c>
      <c r="H164" s="116"/>
      <c r="I164" s="117"/>
      <c r="J164" s="110" t="s">
        <v>139</v>
      </c>
      <c r="K164" s="110">
        <v>79000</v>
      </c>
      <c r="L164" s="110" t="s">
        <v>297</v>
      </c>
      <c r="M164" s="118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>
        <f>IF(L164="הפך להזמנה",(N164-#REF!),0)</f>
        <v>0</v>
      </c>
    </row>
    <row r="165" spans="1:24" ht="12.75" hidden="1" customHeight="1">
      <c r="A165" s="67">
        <v>300010323</v>
      </c>
      <c r="B165" s="3" t="s">
        <v>653</v>
      </c>
      <c r="C165" s="135" t="str">
        <f t="shared" si="31"/>
        <v>300010323-קיבוץ מגן</v>
      </c>
      <c r="D165" s="114">
        <v>45354</v>
      </c>
      <c r="E165" s="114"/>
      <c r="F165" s="115" t="s">
        <v>150</v>
      </c>
      <c r="G165" s="114" t="s">
        <v>512</v>
      </c>
      <c r="H165" s="116"/>
      <c r="I165" s="117"/>
      <c r="J165" s="110" t="s">
        <v>139</v>
      </c>
      <c r="K165" s="110">
        <v>130000</v>
      </c>
      <c r="L165" s="110" t="s">
        <v>297</v>
      </c>
      <c r="M165" s="118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>
        <f>IF(L165="הפך להזמנה",(N165-#REF!),0)</f>
        <v>0</v>
      </c>
    </row>
    <row r="166" spans="1:24" ht="12.75" hidden="1" customHeight="1">
      <c r="A166" s="67">
        <v>300010329</v>
      </c>
      <c r="B166" s="3" t="s">
        <v>654</v>
      </c>
      <c r="C166" s="135" t="str">
        <f t="shared" si="31"/>
        <v>300010329-ויתיניה ת"א</v>
      </c>
      <c r="D166" s="114">
        <v>45374</v>
      </c>
      <c r="E166" s="114"/>
      <c r="F166" s="115" t="s">
        <v>107</v>
      </c>
      <c r="G166" s="114" t="s">
        <v>655</v>
      </c>
      <c r="H166" s="116"/>
      <c r="I166" s="117"/>
      <c r="J166" s="110" t="s">
        <v>102</v>
      </c>
      <c r="K166" s="110">
        <v>5000000</v>
      </c>
      <c r="L166" s="110" t="s">
        <v>297</v>
      </c>
      <c r="M166" s="118" t="s">
        <v>656</v>
      </c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>
        <f>IF(L166="הפך להזמנה",(N166-#REF!),0)</f>
        <v>0</v>
      </c>
    </row>
    <row r="167" spans="1:24" ht="13.35" hidden="1" customHeight="1">
      <c r="A167" s="67">
        <v>300010330</v>
      </c>
      <c r="B167" s="3" t="s">
        <v>657</v>
      </c>
      <c r="C167" s="135" t="str">
        <f t="shared" si="31"/>
        <v>300010330-ויתיניה ת"א שוב אש</v>
      </c>
      <c r="D167" s="114">
        <v>45374</v>
      </c>
      <c r="E167" s="114"/>
      <c r="F167" s="115" t="s">
        <v>101</v>
      </c>
      <c r="G167" s="114" t="s">
        <v>392</v>
      </c>
      <c r="H167" s="116"/>
      <c r="I167" s="117"/>
      <c r="J167" s="110" t="s">
        <v>154</v>
      </c>
      <c r="K167" s="110">
        <v>206000</v>
      </c>
      <c r="L167" s="110" t="s">
        <v>297</v>
      </c>
      <c r="M167" s="118" t="s">
        <v>656</v>
      </c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>
        <f>IF(L167="הפך להזמנה",(N167-#REF!),0)</f>
        <v>0</v>
      </c>
    </row>
    <row r="168" spans="1:24" ht="12.75" hidden="1" customHeight="1">
      <c r="A168" s="67">
        <v>300010335</v>
      </c>
      <c r="B168" s="3" t="s">
        <v>658</v>
      </c>
      <c r="C168" s="135" t="str">
        <f t="shared" si="31"/>
        <v>300010335-איכילוב שוב</v>
      </c>
      <c r="D168" s="114">
        <v>45385</v>
      </c>
      <c r="E168" s="114"/>
      <c r="F168" s="115" t="s">
        <v>506</v>
      </c>
      <c r="G168" s="114" t="s">
        <v>507</v>
      </c>
      <c r="H168" s="116"/>
      <c r="I168" s="117"/>
      <c r="J168" s="110" t="s">
        <v>139</v>
      </c>
      <c r="K168" s="110">
        <v>50000</v>
      </c>
      <c r="L168" s="110" t="s">
        <v>151</v>
      </c>
      <c r="M168" s="118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>
        <f>IF(L168="הפך להזמנה",(N168-#REF!),0)</f>
        <v>0</v>
      </c>
    </row>
    <row r="169" spans="1:24" ht="12.75" hidden="1" customHeight="1">
      <c r="A169" s="67">
        <v>300010324</v>
      </c>
      <c r="B169" s="3" t="s">
        <v>659</v>
      </c>
      <c r="C169" s="135" t="str">
        <f t="shared" si="31"/>
        <v>300010324-יגאל אלון53 בקרה</v>
      </c>
      <c r="D169" s="114">
        <v>45355</v>
      </c>
      <c r="E169" s="114"/>
      <c r="F169" s="115" t="s">
        <v>196</v>
      </c>
      <c r="G169" s="114" t="s">
        <v>332</v>
      </c>
      <c r="H169" s="116"/>
      <c r="I169" s="117"/>
      <c r="J169" s="110" t="s">
        <v>102</v>
      </c>
      <c r="K169" s="110">
        <v>650000</v>
      </c>
      <c r="L169" s="110" t="s">
        <v>297</v>
      </c>
      <c r="M169" s="118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>
        <f>IF(L169="הפך להזמנה",(N169-#REF!),0)</f>
        <v>0</v>
      </c>
    </row>
    <row r="170" spans="1:24" ht="12.75" customHeight="1">
      <c r="A170" s="67">
        <v>300010349</v>
      </c>
      <c r="B170" s="3" t="s">
        <v>660</v>
      </c>
      <c r="C170" s="135" t="str">
        <f t="shared" si="31"/>
        <v>300010349-מערכת שוב גנרי 2 החלפה</v>
      </c>
      <c r="D170" s="114">
        <v>45432</v>
      </c>
      <c r="E170" s="114"/>
      <c r="F170" s="115" t="s">
        <v>144</v>
      </c>
      <c r="G170" s="114" t="s">
        <v>661</v>
      </c>
      <c r="H170" s="116"/>
      <c r="I170" s="117"/>
      <c r="J170" s="110" t="s">
        <v>139</v>
      </c>
      <c r="K170" s="110">
        <v>100000</v>
      </c>
      <c r="L170" s="110" t="s">
        <v>295</v>
      </c>
      <c r="M170" s="118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>
        <f>IF(L170="הפך להזמנה",(N170-#REF!),0)</f>
        <v>0</v>
      </c>
    </row>
    <row r="171" spans="1:24" ht="12.75" hidden="1" customHeight="1">
      <c r="A171" s="67">
        <v>300010326</v>
      </c>
      <c r="B171" s="3" t="s">
        <v>662</v>
      </c>
      <c r="C171" s="135" t="str">
        <f t="shared" si="31"/>
        <v>300010326-ישוב אמציה</v>
      </c>
      <c r="D171" s="114">
        <v>45363</v>
      </c>
      <c r="E171" s="114"/>
      <c r="F171" s="115" t="s">
        <v>107</v>
      </c>
      <c r="G171" s="114" t="s">
        <v>569</v>
      </c>
      <c r="H171" s="116"/>
      <c r="I171" s="117"/>
      <c r="J171" s="110" t="s">
        <v>139</v>
      </c>
      <c r="K171" s="110">
        <v>60000</v>
      </c>
      <c r="L171" s="110" t="s">
        <v>297</v>
      </c>
      <c r="M171" s="118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>
        <f>IF(L171="הפך להזמנה",(N171-#REF!),0)</f>
        <v>0</v>
      </c>
    </row>
    <row r="172" spans="1:24" ht="12.75" hidden="1" customHeight="1">
      <c r="A172" s="67">
        <v>300010344</v>
      </c>
      <c r="B172" s="3" t="s">
        <v>663</v>
      </c>
      <c r="C172" s="135" t="str">
        <f t="shared" si="31"/>
        <v>300010344-אוריין מודיעין- בקר אינדיקציות מחסומים</v>
      </c>
      <c r="D172" s="114">
        <v>45420</v>
      </c>
      <c r="E172" s="114"/>
      <c r="F172" s="115" t="s">
        <v>107</v>
      </c>
      <c r="G172" s="114" t="s">
        <v>664</v>
      </c>
      <c r="H172" s="116"/>
      <c r="I172" s="117"/>
      <c r="J172" s="110" t="s">
        <v>102</v>
      </c>
      <c r="K172" s="110">
        <v>10046</v>
      </c>
      <c r="L172" s="110" t="s">
        <v>151</v>
      </c>
      <c r="M172" s="118" t="s">
        <v>665</v>
      </c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>
        <f>IF(L172="הפך להזמנה",(N172-#REF!),0)</f>
        <v>0</v>
      </c>
    </row>
    <row r="173" spans="1:24" ht="12.75" hidden="1" customHeight="1">
      <c r="A173" s="67">
        <v>300010336</v>
      </c>
      <c r="B173" s="3" t="s">
        <v>666</v>
      </c>
      <c r="C173" s="135" t="str">
        <f t="shared" si="31"/>
        <v>300010336-מכרז עיריית רעננה</v>
      </c>
      <c r="D173" s="114">
        <v>45391</v>
      </c>
      <c r="E173" s="114"/>
      <c r="F173" s="115" t="s">
        <v>188</v>
      </c>
      <c r="G173" s="114" t="s">
        <v>512</v>
      </c>
      <c r="H173" s="116"/>
      <c r="I173" s="117"/>
      <c r="J173" s="110" t="s">
        <v>139</v>
      </c>
      <c r="K173" s="110">
        <v>500000</v>
      </c>
      <c r="L173" s="110" t="s">
        <v>297</v>
      </c>
      <c r="M173" s="118" t="s">
        <v>667</v>
      </c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>
        <f>IF(L173="הפך להזמנה",(N173-#REF!),0)</f>
        <v>0</v>
      </c>
    </row>
    <row r="174" spans="1:24" ht="12.75" hidden="1" customHeight="1">
      <c r="A174" s="67">
        <v>300010327</v>
      </c>
      <c r="B174" s="3" t="s">
        <v>668</v>
      </c>
      <c r="C174" s="135" t="str">
        <f t="shared" si="31"/>
        <v>300010327- מכרז מעלה כרמל - שו"ב</v>
      </c>
      <c r="D174" s="114">
        <v>45369</v>
      </c>
      <c r="E174" s="114"/>
      <c r="F174" s="115" t="s">
        <v>669</v>
      </c>
      <c r="G174" s="114" t="s">
        <v>670</v>
      </c>
      <c r="H174" s="116"/>
      <c r="I174" s="117"/>
      <c r="J174" s="110" t="s">
        <v>139</v>
      </c>
      <c r="K174" s="110">
        <v>90000</v>
      </c>
      <c r="L174" s="110" t="s">
        <v>297</v>
      </c>
      <c r="M174" s="118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>
        <f>IF(L174="הפך להזמנה",(N174-#REF!),0)</f>
        <v>0</v>
      </c>
    </row>
    <row r="175" spans="1:24" ht="12.75" hidden="1" customHeight="1">
      <c r="A175" s="67">
        <v>300010338</v>
      </c>
      <c r="B175" s="3" t="s">
        <v>671</v>
      </c>
      <c r="C175" s="135" t="str">
        <f t="shared" si="31"/>
        <v>300010338-עיריית נהריה</v>
      </c>
      <c r="D175" s="114">
        <v>45391</v>
      </c>
      <c r="E175" s="114"/>
      <c r="F175" s="115" t="s">
        <v>476</v>
      </c>
      <c r="G175" s="114" t="s">
        <v>585</v>
      </c>
      <c r="H175" s="116"/>
      <c r="I175" s="117"/>
      <c r="J175" s="110" t="s">
        <v>139</v>
      </c>
      <c r="K175" s="110">
        <v>200000</v>
      </c>
      <c r="L175" s="110" t="s">
        <v>297</v>
      </c>
      <c r="M175" s="118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>
        <f>IF(L175="הפך להזמנה",(N175-#REF!),0)</f>
        <v>0</v>
      </c>
    </row>
    <row r="176" spans="1:24" ht="14.1" hidden="1" customHeight="1">
      <c r="A176" s="70">
        <v>300010422</v>
      </c>
      <c r="B176" s="3" t="s">
        <v>672</v>
      </c>
      <c r="C176" s="135" t="str">
        <f t="shared" si="31"/>
        <v>300010422-גולדברנדס</v>
      </c>
      <c r="D176" s="114">
        <v>45627</v>
      </c>
      <c r="E176" s="114"/>
      <c r="F176" s="115" t="s">
        <v>107</v>
      </c>
      <c r="G176" s="114" t="s">
        <v>673</v>
      </c>
      <c r="H176" s="116"/>
      <c r="I176" s="117"/>
      <c r="J176" s="110" t="s">
        <v>139</v>
      </c>
      <c r="K176" s="110">
        <v>60000</v>
      </c>
      <c r="L176" s="110" t="s">
        <v>151</v>
      </c>
      <c r="M176" s="118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>
        <f>IF(L176="הפך להזמנה",(N176-#REF!),0)</f>
        <v>0</v>
      </c>
    </row>
    <row r="177" spans="1:24" ht="12.75" hidden="1" customHeight="1">
      <c r="A177" s="67">
        <v>300010341</v>
      </c>
      <c r="B177" s="3" t="s">
        <v>674</v>
      </c>
      <c r="C177" s="135" t="str">
        <f t="shared" si="31"/>
        <v>300010341-מערכת שוב ביטחון מקורות</v>
      </c>
      <c r="D177" s="114">
        <v>45402</v>
      </c>
      <c r="E177" s="114"/>
      <c r="F177" s="115" t="s">
        <v>107</v>
      </c>
      <c r="G177" s="114" t="s">
        <v>675</v>
      </c>
      <c r="H177" s="116"/>
      <c r="I177" s="117"/>
      <c r="J177" s="110" t="s">
        <v>139</v>
      </c>
      <c r="K177" s="110">
        <v>100000</v>
      </c>
      <c r="L177" s="110" t="s">
        <v>297</v>
      </c>
      <c r="M177" s="118" t="s">
        <v>676</v>
      </c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>
        <f>IF(L177="הפך להזמנה",(N177-#REF!),0)</f>
        <v>0</v>
      </c>
    </row>
    <row r="178" spans="1:24" ht="12.75" hidden="1" customHeight="1">
      <c r="A178" s="67">
        <v>300010332</v>
      </c>
      <c r="B178" s="3" t="s">
        <v>677</v>
      </c>
      <c r="C178" s="135" t="str">
        <f t="shared" si="31"/>
        <v>300010332-האוניברסיטה המורמונית</v>
      </c>
      <c r="D178" s="114">
        <v>45377</v>
      </c>
      <c r="E178" s="114"/>
      <c r="F178" s="115" t="s">
        <v>185</v>
      </c>
      <c r="G178" s="114" t="s">
        <v>678</v>
      </c>
      <c r="H178" s="116"/>
      <c r="I178" s="117"/>
      <c r="J178" s="110" t="s">
        <v>139</v>
      </c>
      <c r="K178" s="110">
        <v>28000</v>
      </c>
      <c r="L178" s="110" t="s">
        <v>297</v>
      </c>
      <c r="M178" s="118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>
        <f>IF(L178="הפך להזמנה",(N178-#REF!),0)</f>
        <v>0</v>
      </c>
    </row>
    <row r="179" spans="1:24" ht="12.75" hidden="1" customHeight="1">
      <c r="A179" s="67">
        <v>300010343</v>
      </c>
      <c r="B179" s="3" t="s">
        <v>679</v>
      </c>
      <c r="C179" s="135" t="str">
        <f t="shared" si="31"/>
        <v>300010343-תוה"א 2 - מכרז בקרת מבנה</v>
      </c>
      <c r="D179" s="114">
        <v>45415</v>
      </c>
      <c r="E179" s="114"/>
      <c r="F179" s="115" t="s">
        <v>107</v>
      </c>
      <c r="G179" s="114" t="s">
        <v>680</v>
      </c>
      <c r="H179" s="116"/>
      <c r="I179" s="117"/>
      <c r="J179" s="110" t="s">
        <v>102</v>
      </c>
      <c r="K179" s="110">
        <v>2000000</v>
      </c>
      <c r="L179" s="110" t="s">
        <v>297</v>
      </c>
      <c r="M179" s="118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>
        <f>IF(L179="הפך להזמנה",(N179-#REF!),0)</f>
        <v>0</v>
      </c>
    </row>
    <row r="180" spans="1:24" ht="12.75" hidden="1" customHeight="1">
      <c r="A180" s="67">
        <v>300010348</v>
      </c>
      <c r="B180" s="3" t="s">
        <v>681</v>
      </c>
      <c r="C180" s="135" t="str">
        <f t="shared" si="31"/>
        <v>300010348-מיגון אתר קרמר</v>
      </c>
      <c r="D180" s="114">
        <v>45432</v>
      </c>
      <c r="E180" s="114"/>
      <c r="F180" s="115" t="s">
        <v>107</v>
      </c>
      <c r="G180" s="114" t="s">
        <v>682</v>
      </c>
      <c r="H180" s="116"/>
      <c r="I180" s="117"/>
      <c r="J180" s="110" t="s">
        <v>139</v>
      </c>
      <c r="K180" s="110">
        <v>76000</v>
      </c>
      <c r="L180" s="110" t="s">
        <v>151</v>
      </c>
      <c r="M180" s="118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>
        <f>IF(L180="הפך להזמנה",(N180-#REF!),0)</f>
        <v>0</v>
      </c>
    </row>
    <row r="181" spans="1:24" ht="12.75" hidden="1" customHeight="1">
      <c r="A181" s="67">
        <v>300010334</v>
      </c>
      <c r="B181" s="3" t="s">
        <v>683</v>
      </c>
      <c r="C181" s="135" t="str">
        <f t="shared" si="31"/>
        <v xml:space="preserve">300010334-בית נועם </v>
      </c>
      <c r="D181" s="114">
        <v>45384</v>
      </c>
      <c r="E181" s="114"/>
      <c r="F181" s="115" t="s">
        <v>506</v>
      </c>
      <c r="G181" s="114" t="s">
        <v>507</v>
      </c>
      <c r="H181" s="116"/>
      <c r="I181" s="117"/>
      <c r="J181" s="110" t="s">
        <v>139</v>
      </c>
      <c r="K181" s="110">
        <v>120000</v>
      </c>
      <c r="L181" s="110" t="s">
        <v>297</v>
      </c>
      <c r="M181" s="118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>
        <f>IF(L181="הפך להזמנה",(N181-#REF!),0)</f>
        <v>0</v>
      </c>
    </row>
    <row r="182" spans="1:24" ht="12.75" hidden="1" customHeight="1">
      <c r="A182" s="67">
        <v>300010346</v>
      </c>
      <c r="B182" s="3" t="s">
        <v>684</v>
      </c>
      <c r="C182" s="135" t="str">
        <f t="shared" si="31"/>
        <v>300010346-אלטל מאמן טקטי</v>
      </c>
      <c r="D182" s="114">
        <v>45432</v>
      </c>
      <c r="E182" s="114"/>
      <c r="F182" s="115" t="s">
        <v>107</v>
      </c>
      <c r="G182" s="114" t="s">
        <v>685</v>
      </c>
      <c r="H182" s="116"/>
      <c r="I182" s="117"/>
      <c r="J182" s="110" t="s">
        <v>139</v>
      </c>
      <c r="K182" s="110">
        <v>600000</v>
      </c>
      <c r="L182" s="110" t="s">
        <v>297</v>
      </c>
      <c r="M182" s="118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>
        <f>IF(L182="הפך להזמנה",(N182-#REF!),0)</f>
        <v>0</v>
      </c>
    </row>
    <row r="183" spans="1:24" ht="12.75" hidden="1" customHeight="1">
      <c r="A183" s="67">
        <v>300010347</v>
      </c>
      <c r="B183" s="3" t="s">
        <v>686</v>
      </c>
      <c r="C183" s="135" t="str">
        <f t="shared" si="31"/>
        <v>300010347-פועלים סנטר - בקרת מבנה</v>
      </c>
      <c r="D183" s="114">
        <v>45432</v>
      </c>
      <c r="E183" s="114"/>
      <c r="F183" s="115" t="s">
        <v>107</v>
      </c>
      <c r="G183" s="114" t="s">
        <v>687</v>
      </c>
      <c r="H183" s="116"/>
      <c r="I183" s="117"/>
      <c r="J183" s="110" t="s">
        <v>102</v>
      </c>
      <c r="K183" s="110">
        <v>3000000</v>
      </c>
      <c r="L183" s="110" t="s">
        <v>297</v>
      </c>
      <c r="M183" s="118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>
        <f>IF(L183="הפך להזמנה",(N183-#REF!),0)</f>
        <v>0</v>
      </c>
    </row>
    <row r="184" spans="1:24" ht="12.75" customHeight="1">
      <c r="A184" s="265">
        <v>300010353</v>
      </c>
      <c r="B184" s="3" t="s">
        <v>688</v>
      </c>
      <c r="C184" s="135" t="str">
        <f t="shared" si="31"/>
        <v>300010353-פרוייקט G ראשל"צ</v>
      </c>
      <c r="D184" s="114">
        <v>45446</v>
      </c>
      <c r="E184" s="114"/>
      <c r="F184" s="115" t="s">
        <v>120</v>
      </c>
      <c r="G184" s="114" t="s">
        <v>498</v>
      </c>
      <c r="H184" s="116"/>
      <c r="I184" s="117"/>
      <c r="J184" s="110" t="s">
        <v>139</v>
      </c>
      <c r="K184" s="110">
        <v>20000</v>
      </c>
      <c r="L184" s="110" t="s">
        <v>225</v>
      </c>
      <c r="M184" s="118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>
        <f>IF(L184="הפך להזמנה",(N184-#REF!),0)</f>
        <v>0</v>
      </c>
    </row>
    <row r="185" spans="1:24" ht="12.75" hidden="1" customHeight="1">
      <c r="A185" s="70">
        <v>300010483</v>
      </c>
      <c r="B185" s="3" t="s">
        <v>689</v>
      </c>
      <c r="C185" s="135" t="str">
        <f t="shared" si="31"/>
        <v>300010483-דיור מוגן עד 120 קרית מוצקין בקרת מבנה</v>
      </c>
      <c r="D185" s="114">
        <v>45741</v>
      </c>
      <c r="E185" s="114"/>
      <c r="F185" s="115" t="s">
        <v>101</v>
      </c>
      <c r="G185" s="114" t="s">
        <v>392</v>
      </c>
      <c r="H185" s="247"/>
      <c r="I185" s="117"/>
      <c r="J185" s="110" t="s">
        <v>108</v>
      </c>
      <c r="K185" s="110">
        <v>740000</v>
      </c>
      <c r="L185" s="110" t="s">
        <v>297</v>
      </c>
      <c r="M185" s="118"/>
      <c r="N185" s="247"/>
      <c r="O185" s="247"/>
      <c r="P185" s="247"/>
      <c r="Q185" s="247"/>
      <c r="R185" s="247"/>
      <c r="S185" s="247"/>
      <c r="T185" s="247"/>
      <c r="U185" s="247"/>
      <c r="V185" s="247"/>
      <c r="W185" s="110"/>
      <c r="X185" s="110"/>
    </row>
    <row r="186" spans="1:24" ht="12.75" hidden="1" customHeight="1">
      <c r="A186" s="67">
        <v>300010350</v>
      </c>
      <c r="B186" s="3" t="s">
        <v>690</v>
      </c>
      <c r="C186" s="135" t="str">
        <f t="shared" si="31"/>
        <v>300010350-סקר אתר תנובה רחובות</v>
      </c>
      <c r="D186" s="114">
        <v>45433</v>
      </c>
      <c r="E186" s="114"/>
      <c r="F186" s="115" t="s">
        <v>207</v>
      </c>
      <c r="G186" s="114" t="s">
        <v>338</v>
      </c>
      <c r="H186" s="116"/>
      <c r="I186" s="117"/>
      <c r="J186" s="110" t="s">
        <v>108</v>
      </c>
      <c r="K186" s="110">
        <v>5000</v>
      </c>
      <c r="L186" s="110" t="s">
        <v>297</v>
      </c>
      <c r="M186" s="118" t="s">
        <v>691</v>
      </c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>
        <f>IF(L186="הפך להזמנה",(N186-#REF!),0)</f>
        <v>0</v>
      </c>
    </row>
    <row r="187" spans="1:24" ht="12.75" hidden="1" customHeight="1">
      <c r="A187" s="67">
        <v>300010351</v>
      </c>
      <c r="B187" s="3" t="s">
        <v>692</v>
      </c>
      <c r="C187" s="135" t="str">
        <f t="shared" ref="C187:C218" si="32">A187&amp;"-"&amp;B187</f>
        <v>300010351-רמת הנגב החלפה PSIM</v>
      </c>
      <c r="D187" s="114">
        <v>45434</v>
      </c>
      <c r="E187" s="114"/>
      <c r="F187" s="115" t="s">
        <v>135</v>
      </c>
      <c r="G187" s="114" t="s">
        <v>575</v>
      </c>
      <c r="H187" s="116"/>
      <c r="I187" s="117"/>
      <c r="J187" s="110" t="s">
        <v>139</v>
      </c>
      <c r="K187" s="110">
        <v>150000</v>
      </c>
      <c r="L187" s="110" t="s">
        <v>297</v>
      </c>
      <c r="M187" s="118" t="s">
        <v>693</v>
      </c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>
        <f>IF(L187="הפך להזמנה",(N187-#REF!),0)</f>
        <v>0</v>
      </c>
    </row>
    <row r="188" spans="1:24" ht="12.75" hidden="1" customHeight="1">
      <c r="A188" s="67">
        <v>300010352</v>
      </c>
      <c r="B188" s="3" t="s">
        <v>694</v>
      </c>
      <c r="C188" s="135" t="str">
        <f t="shared" si="32"/>
        <v>300010352-ICL בניין באר שבע</v>
      </c>
      <c r="D188" s="114">
        <v>45438</v>
      </c>
      <c r="E188" s="114"/>
      <c r="F188" s="115" t="s">
        <v>112</v>
      </c>
      <c r="G188" s="114" t="s">
        <v>321</v>
      </c>
      <c r="H188" s="116"/>
      <c r="I188" s="117"/>
      <c r="J188" s="110" t="s">
        <v>139</v>
      </c>
      <c r="K188" s="110">
        <v>300000</v>
      </c>
      <c r="L188" s="110" t="s">
        <v>297</v>
      </c>
      <c r="M188" s="118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>
        <f>IF(L188="הפך להזמנה",(N188-#REF!),0)</f>
        <v>0</v>
      </c>
    </row>
    <row r="189" spans="1:24" ht="12.75" hidden="1" customHeight="1">
      <c r="A189" s="67">
        <v>300010370</v>
      </c>
      <c r="B189" s="3" t="s">
        <v>695</v>
      </c>
      <c r="C189" s="135" t="str">
        <f t="shared" si="32"/>
        <v>300010370-מד 1 רמלה בטחון</v>
      </c>
      <c r="D189" s="114">
        <v>45454</v>
      </c>
      <c r="E189" s="114"/>
      <c r="F189" s="115" t="s">
        <v>506</v>
      </c>
      <c r="G189" s="114" t="s">
        <v>507</v>
      </c>
      <c r="H189" s="116"/>
      <c r="I189" s="117"/>
      <c r="J189" s="110" t="s">
        <v>139</v>
      </c>
      <c r="K189" s="110">
        <v>170000</v>
      </c>
      <c r="L189" s="110" t="s">
        <v>151</v>
      </c>
      <c r="M189" s="118" t="s">
        <v>696</v>
      </c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>
        <f>IF(L189="הפך להזמנה",(N189-#REF!),0)</f>
        <v>0</v>
      </c>
    </row>
    <row r="190" spans="1:24" ht="12.75" hidden="1" customHeight="1">
      <c r="A190" s="67">
        <v>300010342</v>
      </c>
      <c r="B190" s="3" t="s">
        <v>697</v>
      </c>
      <c r="C190" s="135" t="str">
        <f t="shared" si="32"/>
        <v>300010342-מיגון ממ</v>
      </c>
      <c r="D190" s="114">
        <v>45407</v>
      </c>
      <c r="E190" s="114"/>
      <c r="F190" s="115" t="s">
        <v>150</v>
      </c>
      <c r="G190" s="114" t="s">
        <v>698</v>
      </c>
      <c r="H190" s="116"/>
      <c r="I190" s="117"/>
      <c r="J190" s="110" t="s">
        <v>139</v>
      </c>
      <c r="K190" s="110"/>
      <c r="L190" s="110" t="s">
        <v>297</v>
      </c>
      <c r="M190" s="118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>
        <f>IF(L190="הפך להזמנה",(N190-#REF!),0)</f>
        <v>0</v>
      </c>
    </row>
    <row r="191" spans="1:24" ht="12.75" hidden="1" customHeight="1">
      <c r="A191" s="67">
        <v>300010386</v>
      </c>
      <c r="B191" s="3" t="s">
        <v>699</v>
      </c>
      <c r="C191" s="135" t="str">
        <f t="shared" si="32"/>
        <v>300010386-מערכת שו"ב אתר מיוחד</v>
      </c>
      <c r="D191" s="114">
        <v>45504</v>
      </c>
      <c r="E191" s="114"/>
      <c r="F191" s="115" t="s">
        <v>144</v>
      </c>
      <c r="G191" s="114" t="s">
        <v>318</v>
      </c>
      <c r="H191" s="116"/>
      <c r="I191" s="117"/>
      <c r="J191" s="110" t="s">
        <v>139</v>
      </c>
      <c r="K191" s="110">
        <v>59000</v>
      </c>
      <c r="L191" s="110" t="s">
        <v>151</v>
      </c>
      <c r="M191" s="118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>
        <f>IF(L191="הפך להזמנה",(N191-#REF!),0)</f>
        <v>0</v>
      </c>
    </row>
    <row r="192" spans="1:24" ht="12.75" hidden="1" customHeight="1">
      <c r="A192" s="67">
        <v>300010388</v>
      </c>
      <c r="B192" s="3" t="s">
        <v>700</v>
      </c>
      <c r="C192" s="135" t="str">
        <f t="shared" si="32"/>
        <v>300010388-פלמחים שוב אש</v>
      </c>
      <c r="D192" s="114">
        <v>45508</v>
      </c>
      <c r="E192" s="114"/>
      <c r="F192" s="115" t="s">
        <v>196</v>
      </c>
      <c r="G192" s="114" t="s">
        <v>332</v>
      </c>
      <c r="H192" s="116"/>
      <c r="I192" s="117"/>
      <c r="J192" s="110" t="s">
        <v>154</v>
      </c>
      <c r="K192" s="110">
        <v>31000</v>
      </c>
      <c r="L192" s="110" t="s">
        <v>151</v>
      </c>
      <c r="M192" s="118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>
        <f>IF(L192="הפך להזמנה",(N192-#REF!),0)</f>
        <v>0</v>
      </c>
    </row>
    <row r="193" spans="1:24" ht="12.75" customHeight="1">
      <c r="A193" s="333">
        <v>300010390</v>
      </c>
      <c r="B193" s="334" t="s">
        <v>701</v>
      </c>
      <c r="C193" s="335" t="str">
        <f t="shared" si="32"/>
        <v>300010390-מקדוניה גבולות</v>
      </c>
      <c r="D193" s="336">
        <v>45526</v>
      </c>
      <c r="E193" s="114"/>
      <c r="F193" s="337" t="s">
        <v>176</v>
      </c>
      <c r="G193" s="336" t="s">
        <v>401</v>
      </c>
      <c r="H193" s="116"/>
      <c r="I193" s="117"/>
      <c r="J193" s="338" t="s">
        <v>139</v>
      </c>
      <c r="K193" s="338">
        <v>1000000</v>
      </c>
      <c r="L193" s="338" t="s">
        <v>296</v>
      </c>
      <c r="M193" s="339" t="s">
        <v>702</v>
      </c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>
        <f>IF(L193="הפך להזמנה",(N193-#REF!),0)</f>
        <v>0</v>
      </c>
    </row>
    <row r="194" spans="1:24" ht="12.75" hidden="1" customHeight="1">
      <c r="A194" s="67">
        <v>300010354</v>
      </c>
      <c r="B194" s="3" t="s">
        <v>703</v>
      </c>
      <c r="C194" s="135" t="str">
        <f t="shared" si="32"/>
        <v>300010354-טוליפמן</v>
      </c>
      <c r="D194" s="114">
        <v>45446</v>
      </c>
      <c r="E194" s="114"/>
      <c r="F194" s="115" t="s">
        <v>107</v>
      </c>
      <c r="G194" s="114" t="s">
        <v>704</v>
      </c>
      <c r="H194" s="116"/>
      <c r="I194" s="117"/>
      <c r="J194" s="110" t="s">
        <v>102</v>
      </c>
      <c r="K194" s="110">
        <v>153000</v>
      </c>
      <c r="L194" s="110" t="s">
        <v>297</v>
      </c>
      <c r="M194" s="118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>
        <f>IF(L194="הפך להזמנה",(N194-#REF!),0)</f>
        <v>0</v>
      </c>
    </row>
    <row r="195" spans="1:24" ht="12.75" hidden="1" customHeight="1">
      <c r="A195" s="67">
        <v>300010355</v>
      </c>
      <c r="B195" s="3" t="s">
        <v>705</v>
      </c>
      <c r="C195" s="135" t="str">
        <f t="shared" si="32"/>
        <v>300010355-בניין סלקום נתניה</v>
      </c>
      <c r="D195" s="114">
        <v>45447</v>
      </c>
      <c r="E195" s="114"/>
      <c r="F195" s="115" t="s">
        <v>207</v>
      </c>
      <c r="G195" s="114" t="s">
        <v>338</v>
      </c>
      <c r="H195" s="116"/>
      <c r="I195" s="117"/>
      <c r="J195" s="110" t="s">
        <v>102</v>
      </c>
      <c r="K195" s="110">
        <v>80000</v>
      </c>
      <c r="L195" s="110" t="s">
        <v>297</v>
      </c>
      <c r="M195" s="118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>
        <f>IF(L195="הפך להזמנה",(N195-#REF!),0)</f>
        <v>0</v>
      </c>
    </row>
    <row r="196" spans="1:24" ht="12.75" hidden="1" customHeight="1">
      <c r="A196" s="67">
        <v>300010391</v>
      </c>
      <c r="B196" s="3" t="s">
        <v>706</v>
      </c>
      <c r="C196" s="135" t="str">
        <f t="shared" si="32"/>
        <v>300010391-QCYBER</v>
      </c>
      <c r="D196" s="114">
        <v>45530</v>
      </c>
      <c r="E196" s="114"/>
      <c r="F196" s="115" t="s">
        <v>107</v>
      </c>
      <c r="G196" s="114" t="s">
        <v>707</v>
      </c>
      <c r="H196" s="116"/>
      <c r="I196" s="117"/>
      <c r="J196" s="110" t="s">
        <v>139</v>
      </c>
      <c r="K196" s="110">
        <v>290000</v>
      </c>
      <c r="L196" s="110" t="s">
        <v>151</v>
      </c>
      <c r="M196" s="118" t="s">
        <v>708</v>
      </c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>
        <f>IF(L196="הפך להזמנה",(N196-#REF!),0)</f>
        <v>0</v>
      </c>
    </row>
    <row r="197" spans="1:24" ht="12.75" hidden="1" customHeight="1">
      <c r="A197" s="67">
        <v>300010371</v>
      </c>
      <c r="B197" s="3" t="s">
        <v>709</v>
      </c>
      <c r="C197" s="135" t="str">
        <f t="shared" si="32"/>
        <v>300010371-בקרת כניסה כנסת</v>
      </c>
      <c r="D197" s="114">
        <v>45454</v>
      </c>
      <c r="E197" s="114"/>
      <c r="F197" s="115" t="s">
        <v>710</v>
      </c>
      <c r="G197" s="114" t="s">
        <v>711</v>
      </c>
      <c r="H197" s="116"/>
      <c r="I197" s="117"/>
      <c r="J197" s="110" t="s">
        <v>139</v>
      </c>
      <c r="K197" s="110">
        <v>50000</v>
      </c>
      <c r="L197" s="110" t="s">
        <v>297</v>
      </c>
      <c r="M197" s="118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>
        <f>IF(L197="הפך להזמנה",(N197-#REF!),0)</f>
        <v>0</v>
      </c>
    </row>
    <row r="198" spans="1:24" ht="12.75" hidden="1" customHeight="1">
      <c r="A198" s="67">
        <v>300010356</v>
      </c>
      <c r="B198" s="3" t="s">
        <v>712</v>
      </c>
      <c r="C198" s="135" t="str">
        <f t="shared" si="32"/>
        <v>300010356-משכית 1-3 - הקמת חניון</v>
      </c>
      <c r="D198" s="114">
        <v>45447</v>
      </c>
      <c r="E198" s="114"/>
      <c r="F198" s="115" t="s">
        <v>101</v>
      </c>
      <c r="G198" s="114"/>
      <c r="H198" s="116"/>
      <c r="I198" s="117"/>
      <c r="J198" s="110"/>
      <c r="K198" s="110"/>
      <c r="L198" s="110" t="s">
        <v>297</v>
      </c>
      <c r="M198" s="118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>
        <f>IF(L198="הפך להזמנה",(N198-#REF!),0)</f>
        <v>0</v>
      </c>
    </row>
    <row r="199" spans="1:24" ht="13.15">
      <c r="A199" s="67">
        <v>300010392</v>
      </c>
      <c r="B199" s="3" t="s">
        <v>713</v>
      </c>
      <c r="C199" s="135" t="str">
        <f t="shared" si="32"/>
        <v>300010392-בלינסון מבנה חדש</v>
      </c>
      <c r="D199" s="114">
        <v>45530</v>
      </c>
      <c r="E199" s="114"/>
      <c r="F199" s="115" t="s">
        <v>266</v>
      </c>
      <c r="G199" s="114" t="s">
        <v>714</v>
      </c>
      <c r="H199" s="116"/>
      <c r="I199" s="117"/>
      <c r="J199" s="110" t="s">
        <v>139</v>
      </c>
      <c r="K199" s="110"/>
      <c r="L199" s="110" t="s">
        <v>294</v>
      </c>
      <c r="M199" s="118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>
        <f>IF(L199="הפך להזמנה",(N199-#REF!),0)</f>
        <v>0</v>
      </c>
    </row>
    <row r="200" spans="1:24" ht="12.75" hidden="1" customHeight="1">
      <c r="A200" s="67">
        <v>300010374</v>
      </c>
      <c r="B200" s="3" t="s">
        <v>715</v>
      </c>
      <c r="C200" s="135" t="str">
        <f t="shared" si="32"/>
        <v>300010374-חלונות סיטי</v>
      </c>
      <c r="D200" s="114">
        <v>45470</v>
      </c>
      <c r="E200" s="114"/>
      <c r="F200" s="115" t="s">
        <v>107</v>
      </c>
      <c r="G200" s="114" t="s">
        <v>716</v>
      </c>
      <c r="H200" s="116"/>
      <c r="I200" s="117"/>
      <c r="J200" s="110" t="s">
        <v>108</v>
      </c>
      <c r="K200" s="110">
        <v>10000</v>
      </c>
      <c r="L200" s="110" t="s">
        <v>297</v>
      </c>
      <c r="M200" s="118" t="s">
        <v>717</v>
      </c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>
        <f>IF(L200="הפך להזמנה",(N200-#REF!),0)</f>
        <v>0</v>
      </c>
    </row>
    <row r="201" spans="1:24" ht="12.75" hidden="1" customHeight="1">
      <c r="A201" s="67">
        <v>300010358</v>
      </c>
      <c r="B201" s="3" t="s">
        <v>718</v>
      </c>
      <c r="C201" s="135" t="str">
        <f t="shared" si="32"/>
        <v>300010358-הרחבה FC</v>
      </c>
      <c r="D201" s="114">
        <v>45454</v>
      </c>
      <c r="E201" s="114"/>
      <c r="F201" s="115" t="s">
        <v>476</v>
      </c>
      <c r="G201" s="114" t="s">
        <v>585</v>
      </c>
      <c r="H201" s="116"/>
      <c r="I201" s="117"/>
      <c r="J201" s="110" t="s">
        <v>139</v>
      </c>
      <c r="K201" s="110">
        <v>35000</v>
      </c>
      <c r="L201" s="110" t="s">
        <v>297</v>
      </c>
      <c r="M201" s="118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>
        <f>IF(L201="הפך להזמנה",(N201-#REF!),0)</f>
        <v>0</v>
      </c>
    </row>
    <row r="202" spans="1:24" ht="12.75" hidden="1" customHeight="1">
      <c r="A202" s="67">
        <v>300010376</v>
      </c>
      <c r="B202" s="3" t="s">
        <v>719</v>
      </c>
      <c r="C202" s="135" t="str">
        <f t="shared" si="32"/>
        <v>300010376-מיגון חהא</v>
      </c>
      <c r="D202" s="114">
        <v>45472</v>
      </c>
      <c r="E202" s="114"/>
      <c r="F202" s="115" t="s">
        <v>720</v>
      </c>
      <c r="G202" s="114" t="s">
        <v>440</v>
      </c>
      <c r="H202" s="116"/>
      <c r="I202" s="117"/>
      <c r="J202" s="110" t="s">
        <v>139</v>
      </c>
      <c r="K202" s="110">
        <v>400000</v>
      </c>
      <c r="L202" s="110" t="s">
        <v>297</v>
      </c>
      <c r="M202" s="118" t="s">
        <v>721</v>
      </c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>
        <f>IF(L202="הפך להזמנה",(N202-#REF!),0)</f>
        <v>0</v>
      </c>
    </row>
    <row r="203" spans="1:24" ht="12.75" hidden="1" customHeight="1">
      <c r="A203" s="67">
        <v>300010359</v>
      </c>
      <c r="B203" s="3" t="s">
        <v>722</v>
      </c>
      <c r="C203" s="135" t="str">
        <f t="shared" si="32"/>
        <v>300010359-גריאטרי בני ברק- גילוי אש ובקרה</v>
      </c>
      <c r="D203" s="114">
        <v>45454</v>
      </c>
      <c r="E203" s="114"/>
      <c r="F203" s="115" t="s">
        <v>101</v>
      </c>
      <c r="G203" s="114" t="s">
        <v>392</v>
      </c>
      <c r="H203" s="116"/>
      <c r="I203" s="117"/>
      <c r="J203" s="110" t="s">
        <v>102</v>
      </c>
      <c r="K203" s="110">
        <v>690000</v>
      </c>
      <c r="L203" s="110" t="s">
        <v>297</v>
      </c>
      <c r="M203" s="118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>
        <f>IF(L203="הפך להזמנה",(N203-#REF!),0)</f>
        <v>0</v>
      </c>
    </row>
    <row r="204" spans="1:24" ht="12.75" hidden="1" customHeight="1">
      <c r="A204" s="67">
        <v>300010378</v>
      </c>
      <c r="B204" s="3" t="s">
        <v>723</v>
      </c>
      <c r="C204" s="135" t="str">
        <f t="shared" si="32"/>
        <v>300010378-שוב ערוני חדרה</v>
      </c>
      <c r="D204" s="114">
        <v>45482</v>
      </c>
      <c r="E204" s="114"/>
      <c r="F204" s="115" t="s">
        <v>273</v>
      </c>
      <c r="G204" s="114" t="s">
        <v>724</v>
      </c>
      <c r="H204" s="116"/>
      <c r="I204" s="117"/>
      <c r="J204" s="110" t="s">
        <v>139</v>
      </c>
      <c r="K204" s="110">
        <v>400000</v>
      </c>
      <c r="L204" s="110" t="s">
        <v>297</v>
      </c>
      <c r="M204" s="118" t="s">
        <v>667</v>
      </c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>
        <f>IF(L204="הפך להזמנה",(N204-#REF!),0)</f>
        <v>0</v>
      </c>
    </row>
    <row r="205" spans="1:24" ht="12.75" hidden="1" customHeight="1">
      <c r="A205" s="67">
        <v>300010379</v>
      </c>
      <c r="B205" s="3" t="s">
        <v>725</v>
      </c>
      <c r="C205" s="135" t="str">
        <f t="shared" si="32"/>
        <v>300010379-מיגון קפרסין</v>
      </c>
      <c r="D205" s="114">
        <v>45484</v>
      </c>
      <c r="E205" s="114"/>
      <c r="F205" s="115" t="s">
        <v>185</v>
      </c>
      <c r="G205" s="114" t="s">
        <v>726</v>
      </c>
      <c r="H205" s="116"/>
      <c r="I205" s="117"/>
      <c r="J205" s="110" t="s">
        <v>139</v>
      </c>
      <c r="K205" s="110">
        <v>70000</v>
      </c>
      <c r="L205" s="110" t="s">
        <v>297</v>
      </c>
      <c r="M205" s="118" t="s">
        <v>727</v>
      </c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>
        <f>IF(L205="הפך להזמנה",(N205-#REF!),0)</f>
        <v>0</v>
      </c>
    </row>
    <row r="206" spans="1:24" ht="12.75" hidden="1" customHeight="1">
      <c r="A206" s="67">
        <v>300010380</v>
      </c>
      <c r="B206" s="3" t="s">
        <v>728</v>
      </c>
      <c r="C206" s="135" t="str">
        <f t="shared" si="32"/>
        <v>300010380- מערכת שו"ב עבור נתג"ז</v>
      </c>
      <c r="D206" s="114">
        <v>45494</v>
      </c>
      <c r="E206" s="114"/>
      <c r="F206" s="115" t="s">
        <v>266</v>
      </c>
      <c r="G206" s="114"/>
      <c r="H206" s="116"/>
      <c r="I206" s="117"/>
      <c r="J206" s="110" t="s">
        <v>139</v>
      </c>
      <c r="K206" s="110">
        <v>480000</v>
      </c>
      <c r="L206" s="110" t="s">
        <v>297</v>
      </c>
      <c r="M206" s="118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>
        <f>IF(L206="הפך להזמנה",(N206-#REF!),0)</f>
        <v>0</v>
      </c>
    </row>
    <row r="207" spans="1:24" ht="12.75" hidden="1" customHeight="1">
      <c r="A207" s="67">
        <v>300010372</v>
      </c>
      <c r="B207" s="3" t="s">
        <v>729</v>
      </c>
      <c r="C207" s="135" t="str">
        <f t="shared" si="32"/>
        <v>300010372-החלפת מערכת שוב בזן</v>
      </c>
      <c r="D207" s="114">
        <v>45463</v>
      </c>
      <c r="E207" s="114"/>
      <c r="F207" s="115" t="s">
        <v>150</v>
      </c>
      <c r="G207" s="114" t="s">
        <v>512</v>
      </c>
      <c r="H207" s="116"/>
      <c r="I207" s="117"/>
      <c r="J207" s="110" t="s">
        <v>139</v>
      </c>
      <c r="K207" s="110">
        <v>200000</v>
      </c>
      <c r="L207" s="110" t="s">
        <v>297</v>
      </c>
      <c r="M207" s="118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>
        <f>IF(L207="הפך להזמנה",(N207-#REF!),0)</f>
        <v>0</v>
      </c>
    </row>
    <row r="208" spans="1:24" ht="12.75" hidden="1" customHeight="1">
      <c r="A208" s="67">
        <v>300010382</v>
      </c>
      <c r="B208" s="3" t="s">
        <v>730</v>
      </c>
      <c r="C208" s="135" t="str">
        <f t="shared" si="32"/>
        <v>300010382-מערכת מדידת טמפ בנק אפריקה</v>
      </c>
      <c r="D208" s="114">
        <v>45494</v>
      </c>
      <c r="E208" s="114"/>
      <c r="F208" s="115" t="s">
        <v>107</v>
      </c>
      <c r="G208" s="114" t="s">
        <v>731</v>
      </c>
      <c r="H208" s="116"/>
      <c r="I208" s="117"/>
      <c r="J208" s="110" t="s">
        <v>108</v>
      </c>
      <c r="K208" s="110">
        <v>680000</v>
      </c>
      <c r="L208" s="110" t="s">
        <v>297</v>
      </c>
      <c r="M208" s="118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>
        <f>IF(L208="הפך להזמנה",(N208-#REF!),0)</f>
        <v>0</v>
      </c>
    </row>
    <row r="209" spans="1:24" ht="12.75" hidden="1" customHeight="1">
      <c r="A209" s="67">
        <v>300010373</v>
      </c>
      <c r="B209" s="3" t="s">
        <v>732</v>
      </c>
      <c r="C209" s="135" t="str">
        <f t="shared" si="32"/>
        <v>300010373-בית עורק פתח תקוה</v>
      </c>
      <c r="D209" s="114">
        <v>45463</v>
      </c>
      <c r="E209" s="114"/>
      <c r="F209" s="115" t="s">
        <v>196</v>
      </c>
      <c r="G209" s="114" t="s">
        <v>310</v>
      </c>
      <c r="H209" s="116"/>
      <c r="I209" s="117"/>
      <c r="J209" s="110" t="s">
        <v>102</v>
      </c>
      <c r="K209" s="110"/>
      <c r="L209" s="110" t="s">
        <v>297</v>
      </c>
      <c r="M209" s="118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>
        <f>IF(L209="הפך להזמנה",(N209-#REF!),0)</f>
        <v>0</v>
      </c>
    </row>
    <row r="210" spans="1:24" ht="12.75" hidden="1" customHeight="1">
      <c r="A210" s="67">
        <v>300010384</v>
      </c>
      <c r="B210" s="3" t="s">
        <v>733</v>
      </c>
      <c r="C210" s="135" t="str">
        <f t="shared" si="32"/>
        <v>300010384-זימון מבקרים - אוסם</v>
      </c>
      <c r="D210" s="114">
        <v>45502</v>
      </c>
      <c r="E210" s="114"/>
      <c r="F210" s="115" t="s">
        <v>120</v>
      </c>
      <c r="G210" s="114" t="s">
        <v>498</v>
      </c>
      <c r="H210" s="116"/>
      <c r="I210" s="117"/>
      <c r="J210" s="110" t="s">
        <v>139</v>
      </c>
      <c r="K210" s="110">
        <v>400000</v>
      </c>
      <c r="L210" s="110" t="s">
        <v>297</v>
      </c>
      <c r="M210" s="118" t="s">
        <v>734</v>
      </c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>
        <f>IF(L210="הפך להזמנה",(N210-#REF!),0)</f>
        <v>0</v>
      </c>
    </row>
    <row r="211" spans="1:24" ht="12.75" hidden="1" customHeight="1">
      <c r="A211" s="67">
        <v>300010385</v>
      </c>
      <c r="B211" s="3" t="s">
        <v>735</v>
      </c>
      <c r="C211" s="135" t="str">
        <f t="shared" si="32"/>
        <v xml:space="preserve">300010385-R&amp;Design מוקד בטחון </v>
      </c>
      <c r="D211" s="114">
        <v>45503</v>
      </c>
      <c r="E211" s="114"/>
      <c r="F211" s="115" t="s">
        <v>107</v>
      </c>
      <c r="G211" s="114" t="s">
        <v>736</v>
      </c>
      <c r="H211" s="116"/>
      <c r="I211" s="117"/>
      <c r="J211" s="110" t="s">
        <v>139</v>
      </c>
      <c r="K211" s="110">
        <v>100000</v>
      </c>
      <c r="L211" s="110" t="s">
        <v>297</v>
      </c>
      <c r="M211" s="118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>
        <f>IF(L211="הפך להזמנה",(N211-#REF!),0)</f>
        <v>0</v>
      </c>
    </row>
    <row r="212" spans="1:24" ht="12.75" customHeight="1">
      <c r="A212" s="67">
        <v>300010393</v>
      </c>
      <c r="B212" s="3" t="s">
        <v>737</v>
      </c>
      <c r="C212" s="135" t="str">
        <f t="shared" si="32"/>
        <v>300010393-בית חולים סורוקה מוקד</v>
      </c>
      <c r="D212" s="114">
        <v>45530</v>
      </c>
      <c r="E212" s="114"/>
      <c r="F212" s="115" t="s">
        <v>107</v>
      </c>
      <c r="G212" s="114"/>
      <c r="H212" s="116"/>
      <c r="I212" s="117"/>
      <c r="J212" s="110" t="s">
        <v>139</v>
      </c>
      <c r="K212" s="110"/>
      <c r="L212" s="110" t="s">
        <v>294</v>
      </c>
      <c r="M212" s="118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>
        <f>IF(L212="הפך להזמנה",(N212-#REF!),0)</f>
        <v>0</v>
      </c>
    </row>
    <row r="213" spans="1:24" ht="12.75" hidden="1" customHeight="1">
      <c r="A213" s="67">
        <v>300010387</v>
      </c>
      <c r="B213" s="3" t="s">
        <v>738</v>
      </c>
      <c r="C213" s="135" t="str">
        <f t="shared" si="32"/>
        <v>300010387-עיר בטוחה בת אל</v>
      </c>
      <c r="D213" s="114">
        <v>45508</v>
      </c>
      <c r="E213" s="114"/>
      <c r="F213" s="115" t="s">
        <v>739</v>
      </c>
      <c r="G213" s="114" t="s">
        <v>740</v>
      </c>
      <c r="H213" s="116"/>
      <c r="I213" s="117"/>
      <c r="J213" s="110" t="s">
        <v>139</v>
      </c>
      <c r="K213" s="110">
        <v>250000</v>
      </c>
      <c r="L213" s="110" t="s">
        <v>297</v>
      </c>
      <c r="M213" s="118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>
        <f>IF(L213="הפך להזמנה",(N213-#REF!),0)</f>
        <v>0</v>
      </c>
    </row>
    <row r="214" spans="1:24" ht="12.75" hidden="1" customHeight="1">
      <c r="A214" s="67">
        <v>300010394</v>
      </c>
      <c r="B214" s="3" t="s">
        <v>170</v>
      </c>
      <c r="C214" s="135" t="str">
        <f t="shared" si="32"/>
        <v>300010394-תלפיות 2</v>
      </c>
      <c r="D214" s="114">
        <v>45531</v>
      </c>
      <c r="E214" s="114"/>
      <c r="F214" s="115" t="s">
        <v>124</v>
      </c>
      <c r="G214" s="114" t="s">
        <v>741</v>
      </c>
      <c r="H214" s="116"/>
      <c r="I214" s="117"/>
      <c r="J214" s="110" t="s">
        <v>102</v>
      </c>
      <c r="K214" s="110">
        <v>450000</v>
      </c>
      <c r="L214" s="110" t="s">
        <v>151</v>
      </c>
      <c r="M214" s="118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>
        <f>IF(L214="הפך להזמנה",(N214-#REF!),0)</f>
        <v>0</v>
      </c>
    </row>
    <row r="215" spans="1:24" ht="12.75" hidden="1" customHeight="1">
      <c r="A215" s="67">
        <v>300010375</v>
      </c>
      <c r="B215" s="3" t="s">
        <v>742</v>
      </c>
      <c r="C215" s="135" t="str">
        <f t="shared" si="32"/>
        <v xml:space="preserve">300010375-מגט תעשיות בע"מ </v>
      </c>
      <c r="D215" s="114">
        <v>44739</v>
      </c>
      <c r="E215" s="114"/>
      <c r="F215" s="115" t="s">
        <v>107</v>
      </c>
      <c r="G215" s="114" t="s">
        <v>743</v>
      </c>
      <c r="H215" s="116"/>
      <c r="I215" s="117"/>
      <c r="J215" s="110" t="s">
        <v>303</v>
      </c>
      <c r="K215" s="110">
        <v>31000</v>
      </c>
      <c r="L215" s="110" t="s">
        <v>297</v>
      </c>
      <c r="M215" s="118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>
        <f>IF(L215="הפך להזמנה",(N215-#REF!),0)</f>
        <v>0</v>
      </c>
    </row>
    <row r="216" spans="1:24" ht="13.15" hidden="1">
      <c r="A216" s="67">
        <v>300010377</v>
      </c>
      <c r="B216" s="3" t="s">
        <v>744</v>
      </c>
      <c r="C216" s="135" t="str">
        <f t="shared" si="32"/>
        <v>300010377-מלון מנדרין שו"ב</v>
      </c>
      <c r="D216" s="114">
        <v>45477</v>
      </c>
      <c r="E216" s="114"/>
      <c r="F216" s="115" t="s">
        <v>107</v>
      </c>
      <c r="G216" s="114" t="s">
        <v>745</v>
      </c>
      <c r="H216" s="116"/>
      <c r="I216" s="117"/>
      <c r="J216" s="110" t="s">
        <v>139</v>
      </c>
      <c r="K216" s="110"/>
      <c r="L216" s="110" t="s">
        <v>297</v>
      </c>
      <c r="M216" s="118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>
        <f>IF(L216="הפך להזמנה",(N216-#REF!),0)</f>
        <v>0</v>
      </c>
    </row>
    <row r="217" spans="1:24" ht="12.75" hidden="1" customHeight="1">
      <c r="A217" s="67">
        <v>300010395</v>
      </c>
      <c r="B217" s="3" t="s">
        <v>746</v>
      </c>
      <c r="C217" s="135" t="str">
        <f t="shared" si="32"/>
        <v>300010395-שדרוג שוב אש</v>
      </c>
      <c r="D217" s="114">
        <v>45531</v>
      </c>
      <c r="E217" s="114"/>
      <c r="F217" s="115" t="s">
        <v>207</v>
      </c>
      <c r="G217" s="114" t="s">
        <v>338</v>
      </c>
      <c r="H217" s="116"/>
      <c r="I217" s="117"/>
      <c r="J217" s="110" t="s">
        <v>154</v>
      </c>
      <c r="K217" s="110">
        <v>50000</v>
      </c>
      <c r="L217" s="110" t="s">
        <v>151</v>
      </c>
      <c r="M217" s="118" t="s">
        <v>747</v>
      </c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>
        <f>IF(L217="הפך להזמנה",(N217-#REF!),0)</f>
        <v>0</v>
      </c>
    </row>
    <row r="218" spans="1:24" ht="13.15" hidden="1" customHeight="1">
      <c r="A218" s="67">
        <v>300010381</v>
      </c>
      <c r="B218" s="3" t="s">
        <v>748</v>
      </c>
      <c r="C218" s="135" t="str">
        <f t="shared" si="32"/>
        <v>300010381-מעלה הכרמל</v>
      </c>
      <c r="D218" s="114">
        <v>45494</v>
      </c>
      <c r="E218" s="114"/>
      <c r="F218" s="115" t="s">
        <v>329</v>
      </c>
      <c r="G218" s="114" t="s">
        <v>330</v>
      </c>
      <c r="H218" s="116"/>
      <c r="I218" s="117"/>
      <c r="J218" s="110" t="s">
        <v>139</v>
      </c>
      <c r="K218" s="110">
        <v>100000</v>
      </c>
      <c r="L218" s="110" t="s">
        <v>297</v>
      </c>
      <c r="M218" s="118" t="s">
        <v>749</v>
      </c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>
        <f>IF(L218="הפך להזמנה",(N218-#REF!),0)</f>
        <v>0</v>
      </c>
    </row>
    <row r="219" spans="1:24" ht="12.75" hidden="1" customHeight="1">
      <c r="A219" s="67">
        <v>300010383</v>
      </c>
      <c r="B219" s="3" t="s">
        <v>750</v>
      </c>
      <c r="C219" s="135" t="str">
        <f t="shared" ref="C219:C250" si="33">A219&amp;"-"&amp;B219</f>
        <v>300010383-בנושא תוכנת שו"ב  - עיריית ת"א</v>
      </c>
      <c r="D219" s="114">
        <v>45496</v>
      </c>
      <c r="E219" s="114"/>
      <c r="F219" s="115" t="s">
        <v>188</v>
      </c>
      <c r="G219" s="114" t="s">
        <v>512</v>
      </c>
      <c r="H219" s="116"/>
      <c r="I219" s="117"/>
      <c r="J219" s="110" t="s">
        <v>139</v>
      </c>
      <c r="K219" s="110">
        <v>500000</v>
      </c>
      <c r="L219" s="110" t="s">
        <v>297</v>
      </c>
      <c r="M219" s="118" t="s">
        <v>751</v>
      </c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>
        <f>IF(L219="הפך להזמנה",(N219-#REF!),0)</f>
        <v>0</v>
      </c>
    </row>
    <row r="220" spans="1:24" ht="13.15">
      <c r="A220" s="67">
        <v>300010402</v>
      </c>
      <c r="B220" s="3" t="s">
        <v>752</v>
      </c>
      <c r="C220" s="135" t="str">
        <f t="shared" si="33"/>
        <v>300010402-עזריאלי  חולון</v>
      </c>
      <c r="D220" s="114">
        <v>45573</v>
      </c>
      <c r="E220" s="114"/>
      <c r="F220" s="115" t="s">
        <v>107</v>
      </c>
      <c r="G220" s="114"/>
      <c r="H220" s="116"/>
      <c r="I220" s="117"/>
      <c r="J220" s="110" t="s">
        <v>139</v>
      </c>
      <c r="K220" s="110">
        <v>74000</v>
      </c>
      <c r="L220" s="110" t="s">
        <v>295</v>
      </c>
      <c r="M220" s="118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>
        <f>IF(L220="הפך להזמנה",(N220-#REF!),0)</f>
        <v>0</v>
      </c>
    </row>
    <row r="221" spans="1:24" s="187" customFormat="1" ht="13.15" hidden="1">
      <c r="A221" s="67">
        <v>300010403</v>
      </c>
      <c r="B221" s="3" t="s">
        <v>753</v>
      </c>
      <c r="C221" s="135" t="str">
        <f t="shared" si="33"/>
        <v>300010403-מתחם עתידים</v>
      </c>
      <c r="D221" s="114">
        <v>45578</v>
      </c>
      <c r="E221" s="114"/>
      <c r="F221" s="115" t="s">
        <v>600</v>
      </c>
      <c r="G221" s="114" t="s">
        <v>278</v>
      </c>
      <c r="H221" s="116"/>
      <c r="I221" s="117"/>
      <c r="J221" s="110" t="s">
        <v>139</v>
      </c>
      <c r="K221" s="110">
        <v>74000</v>
      </c>
      <c r="L221" s="110" t="s">
        <v>151</v>
      </c>
      <c r="M221" s="118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>
        <f>IF(L221="הפך להזמנה",(N221-#REF!),0)</f>
        <v>0</v>
      </c>
    </row>
    <row r="222" spans="1:24" ht="13.15">
      <c r="A222" s="67">
        <v>300010404</v>
      </c>
      <c r="B222" s="3" t="s">
        <v>754</v>
      </c>
      <c r="C222" s="135" t="str">
        <f t="shared" si="33"/>
        <v>300010404-מודול לזימון אורחים + קיוסק דיור ממשלתי נתניה</v>
      </c>
      <c r="D222" s="114">
        <v>45593</v>
      </c>
      <c r="E222" s="114"/>
      <c r="F222" s="115" t="s">
        <v>144</v>
      </c>
      <c r="G222" s="114" t="s">
        <v>318</v>
      </c>
      <c r="H222" s="116"/>
      <c r="I222" s="117"/>
      <c r="J222" s="110" t="s">
        <v>303</v>
      </c>
      <c r="K222" s="110">
        <v>120000</v>
      </c>
      <c r="L222" s="110" t="s">
        <v>225</v>
      </c>
      <c r="M222" s="118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>
        <f>IF(L222="הפך להזמנה",(N222-#REF!),0)</f>
        <v>0</v>
      </c>
    </row>
    <row r="223" spans="1:24" ht="12.75" hidden="1" customHeight="1">
      <c r="A223" s="67">
        <v>300010405</v>
      </c>
      <c r="B223" s="3" t="s">
        <v>755</v>
      </c>
      <c r="C223" s="135" t="str">
        <f t="shared" si="33"/>
        <v>300010405-אושירה באר שבע</v>
      </c>
      <c r="D223" s="114" t="s">
        <v>756</v>
      </c>
      <c r="E223" s="114"/>
      <c r="F223" s="115" t="s">
        <v>144</v>
      </c>
      <c r="G223" s="114" t="s">
        <v>757</v>
      </c>
      <c r="H223" s="116"/>
      <c r="I223" s="117"/>
      <c r="J223" s="110" t="s">
        <v>139</v>
      </c>
      <c r="K223" s="110">
        <v>154000</v>
      </c>
      <c r="L223" s="110" t="s">
        <v>151</v>
      </c>
      <c r="M223" s="118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>
        <f>IF(L223="הפך להזמנה",(N223-#REF!),0)</f>
        <v>0</v>
      </c>
    </row>
    <row r="224" spans="1:24" ht="12.75" hidden="1" customHeight="1">
      <c r="A224" s="67">
        <v>300010406</v>
      </c>
      <c r="B224" s="3" t="s">
        <v>163</v>
      </c>
      <c r="C224" s="135" t="str">
        <f t="shared" si="33"/>
        <v>300010406-אוסם זימון אורחים וקיוסק</v>
      </c>
      <c r="D224" s="114">
        <v>45601</v>
      </c>
      <c r="E224" s="114"/>
      <c r="F224" s="115" t="s">
        <v>120</v>
      </c>
      <c r="G224" s="114" t="s">
        <v>498</v>
      </c>
      <c r="H224" s="116"/>
      <c r="I224" s="117"/>
      <c r="J224" s="110" t="s">
        <v>303</v>
      </c>
      <c r="K224" s="110">
        <v>300000</v>
      </c>
      <c r="L224" s="110" t="s">
        <v>151</v>
      </c>
      <c r="M224" s="118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>
        <f>IF(L224="הפך להזמנה",(N224-#REF!),0)</f>
        <v>0</v>
      </c>
    </row>
    <row r="225" spans="1:24" ht="12.75" hidden="1" customHeight="1">
      <c r="A225" s="67">
        <v>300010408</v>
      </c>
      <c r="B225" s="3" t="s">
        <v>758</v>
      </c>
      <c r="C225" s="135" t="str">
        <f t="shared" si="33"/>
        <v>300010408-שוב אש מקדוניה</v>
      </c>
      <c r="D225" s="114">
        <v>45540</v>
      </c>
      <c r="E225" s="114"/>
      <c r="F225" s="115" t="s">
        <v>270</v>
      </c>
      <c r="G225" s="114" t="s">
        <v>759</v>
      </c>
      <c r="H225" s="116"/>
      <c r="I225" s="117"/>
      <c r="J225" s="110" t="s">
        <v>154</v>
      </c>
      <c r="K225" s="110">
        <v>33000</v>
      </c>
      <c r="L225" s="110" t="s">
        <v>151</v>
      </c>
      <c r="M225" s="118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>
        <f>IF(L225="הפך להזמנה",(N225-#REF!),0)</f>
        <v>0</v>
      </c>
    </row>
    <row r="226" spans="1:24" ht="13.15" hidden="1" customHeight="1">
      <c r="A226" s="67">
        <v>300010396</v>
      </c>
      <c r="B226" s="3" t="s">
        <v>760</v>
      </c>
      <c r="C226" s="135" t="str">
        <f t="shared" si="33"/>
        <v>300010396-תהא 2 בטחון</v>
      </c>
      <c r="D226" s="114">
        <v>45536</v>
      </c>
      <c r="E226" s="114"/>
      <c r="F226" s="115" t="s">
        <v>112</v>
      </c>
      <c r="G226" s="114" t="s">
        <v>321</v>
      </c>
      <c r="H226" s="116"/>
      <c r="I226" s="117"/>
      <c r="J226" s="110" t="s">
        <v>139</v>
      </c>
      <c r="K226" s="110">
        <v>150000</v>
      </c>
      <c r="L226" s="110" t="s">
        <v>297</v>
      </c>
      <c r="M226" s="118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>
        <f>IF(L226="הפך להזמנה",(N226-#REF!),0)</f>
        <v>0</v>
      </c>
    </row>
    <row r="227" spans="1:24" ht="12.75" hidden="1" customHeight="1">
      <c r="A227" s="67">
        <v>300010398</v>
      </c>
      <c r="B227" s="3" t="s">
        <v>761</v>
      </c>
      <c r="C227" s="135" t="str">
        <f t="shared" si="33"/>
        <v>300010398-מרלוג HM</v>
      </c>
      <c r="D227" s="114">
        <v>45546</v>
      </c>
      <c r="E227" s="114"/>
      <c r="F227" s="115" t="s">
        <v>524</v>
      </c>
      <c r="G227" s="114" t="s">
        <v>762</v>
      </c>
      <c r="H227" s="116"/>
      <c r="I227" s="117"/>
      <c r="J227" s="110" t="s">
        <v>139</v>
      </c>
      <c r="K227" s="110">
        <v>120000</v>
      </c>
      <c r="L227" s="110" t="s">
        <v>297</v>
      </c>
      <c r="M227" s="118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>
        <f>IF(L227="הפך להזמנה",(N227-#REF!),0)</f>
        <v>0</v>
      </c>
    </row>
    <row r="228" spans="1:24" ht="13.15" hidden="1">
      <c r="A228" s="67">
        <v>300010409</v>
      </c>
      <c r="B228" s="3" t="s">
        <v>763</v>
      </c>
      <c r="C228" s="135" t="str">
        <f t="shared" si="33"/>
        <v>300010409-מטמנה עברון</v>
      </c>
      <c r="D228" s="114">
        <v>45474</v>
      </c>
      <c r="E228" s="114"/>
      <c r="F228" s="115" t="s">
        <v>199</v>
      </c>
      <c r="G228" s="114" t="s">
        <v>456</v>
      </c>
      <c r="H228" s="116"/>
      <c r="I228" s="117"/>
      <c r="J228" s="110" t="s">
        <v>154</v>
      </c>
      <c r="K228" s="110">
        <v>10000</v>
      </c>
      <c r="L228" s="110" t="s">
        <v>151</v>
      </c>
      <c r="M228" s="118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>
        <f>IF(L228="הפך להזמנה",(N228-#REF!),0)</f>
        <v>0</v>
      </c>
    </row>
    <row r="229" spans="1:24" ht="13.15" hidden="1">
      <c r="A229" s="67">
        <v>300010410</v>
      </c>
      <c r="B229" s="3" t="s">
        <v>764</v>
      </c>
      <c r="C229" s="135" t="str">
        <f t="shared" si="33"/>
        <v>300010410-פרויקט DHL</v>
      </c>
      <c r="D229" s="114">
        <v>45475</v>
      </c>
      <c r="E229" s="114"/>
      <c r="F229" s="115" t="s">
        <v>199</v>
      </c>
      <c r="G229" s="114" t="s">
        <v>456</v>
      </c>
      <c r="H229" s="116"/>
      <c r="I229" s="117"/>
      <c r="J229" s="110" t="s">
        <v>154</v>
      </c>
      <c r="K229" s="110">
        <v>15700</v>
      </c>
      <c r="L229" s="110" t="s">
        <v>151</v>
      </c>
      <c r="M229" s="118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>
        <f>IF(L229="הפך להזמנה",(N229-#REF!),0)</f>
        <v>0</v>
      </c>
    </row>
    <row r="230" spans="1:24" ht="13.15" hidden="1">
      <c r="A230" s="67">
        <v>300010411</v>
      </c>
      <c r="B230" s="3" t="s">
        <v>765</v>
      </c>
      <c r="C230" s="135" t="str">
        <f t="shared" si="33"/>
        <v>300010411-ילד מגנט</v>
      </c>
      <c r="D230" s="114">
        <v>45536</v>
      </c>
      <c r="E230" s="114"/>
      <c r="F230" s="115" t="s">
        <v>120</v>
      </c>
      <c r="G230" s="114" t="s">
        <v>498</v>
      </c>
      <c r="H230" s="116"/>
      <c r="I230" s="117"/>
      <c r="J230" s="110" t="s">
        <v>303</v>
      </c>
      <c r="K230" s="110">
        <v>16500</v>
      </c>
      <c r="L230" s="110" t="s">
        <v>151</v>
      </c>
      <c r="M230" s="118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>
        <f>IF(L230="הפך להזמנה",(N230-#REF!),0)</f>
        <v>0</v>
      </c>
    </row>
    <row r="231" spans="1:24" ht="13.15" hidden="1">
      <c r="A231" s="67">
        <v>300010412</v>
      </c>
      <c r="B231" s="3" t="s">
        <v>766</v>
      </c>
      <c r="C231" s="135" t="str">
        <f t="shared" si="33"/>
        <v>300010412-קניון רננים תוספת ספירת קהל</v>
      </c>
      <c r="D231" s="114">
        <v>45515</v>
      </c>
      <c r="E231" s="114"/>
      <c r="F231" s="115" t="s">
        <v>196</v>
      </c>
      <c r="G231" s="114" t="s">
        <v>767</v>
      </c>
      <c r="H231" s="116"/>
      <c r="I231" s="117"/>
      <c r="J231" s="110" t="s">
        <v>227</v>
      </c>
      <c r="K231" s="110">
        <v>23000</v>
      </c>
      <c r="L231" s="110" t="s">
        <v>151</v>
      </c>
      <c r="M231" s="118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>
        <f>IF(L231="הפך להזמנה",(N231-#REF!),0)</f>
        <v>0</v>
      </c>
    </row>
    <row r="232" spans="1:24" ht="13.15" hidden="1">
      <c r="A232" s="67">
        <v>300010337</v>
      </c>
      <c r="B232" s="3" t="s">
        <v>768</v>
      </c>
      <c r="C232" s="135" t="str">
        <f t="shared" si="33"/>
        <v>300010337-משטרת ישראל</v>
      </c>
      <c r="D232" s="114">
        <v>45391</v>
      </c>
      <c r="E232" s="114"/>
      <c r="F232" s="115" t="s">
        <v>144</v>
      </c>
      <c r="G232" s="114" t="s">
        <v>318</v>
      </c>
      <c r="H232" s="116"/>
      <c r="I232" s="117"/>
      <c r="J232" s="110" t="s">
        <v>139</v>
      </c>
      <c r="K232" s="110">
        <v>380000</v>
      </c>
      <c r="L232" s="110" t="s">
        <v>297</v>
      </c>
      <c r="M232" s="118" t="s">
        <v>769</v>
      </c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>
        <f>IF(L232="הפך להזמנה",(N232-#REF!),0)</f>
        <v>0</v>
      </c>
    </row>
    <row r="233" spans="1:24" ht="12.75" hidden="1" customHeight="1">
      <c r="A233" s="67">
        <v>300010413</v>
      </c>
      <c r="B233" s="3" t="s">
        <v>770</v>
      </c>
      <c r="C233" s="135" t="str">
        <f t="shared" si="33"/>
        <v>300010413-שוב אש מנורה</v>
      </c>
      <c r="D233" s="114">
        <v>45554</v>
      </c>
      <c r="E233" s="114"/>
      <c r="F233" s="115" t="s">
        <v>199</v>
      </c>
      <c r="G233" s="114" t="s">
        <v>274</v>
      </c>
      <c r="H233" s="116"/>
      <c r="I233" s="117"/>
      <c r="J233" s="110" t="s">
        <v>154</v>
      </c>
      <c r="K233" s="110">
        <v>17000</v>
      </c>
      <c r="L233" s="110" t="s">
        <v>151</v>
      </c>
      <c r="M233" s="118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>
        <f>IF(L233="הפך להזמנה",(N233-#REF!),0)</f>
        <v>0</v>
      </c>
    </row>
    <row r="234" spans="1:24" ht="12.75" hidden="1" customHeight="1">
      <c r="A234" s="67">
        <v>300010240</v>
      </c>
      <c r="B234" s="3" t="s">
        <v>771</v>
      </c>
      <c r="C234" s="135" t="str">
        <f t="shared" si="33"/>
        <v>300010240-שוב אש רפאל</v>
      </c>
      <c r="D234" s="114">
        <v>45178</v>
      </c>
      <c r="E234" s="114"/>
      <c r="F234" s="115" t="s">
        <v>207</v>
      </c>
      <c r="G234" s="114" t="s">
        <v>466</v>
      </c>
      <c r="H234" s="116"/>
      <c r="I234" s="117"/>
      <c r="J234" s="110" t="s">
        <v>154</v>
      </c>
      <c r="K234" s="110">
        <v>20000</v>
      </c>
      <c r="L234" s="110" t="s">
        <v>297</v>
      </c>
      <c r="M234" s="118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>
        <f>IF(L234="הפך להזמנה",(N234-#REF!),0)</f>
        <v>0</v>
      </c>
    </row>
    <row r="235" spans="1:24" ht="12.75" customHeight="1">
      <c r="A235" s="320">
        <v>300010414</v>
      </c>
      <c r="B235" s="321" t="s">
        <v>772</v>
      </c>
      <c r="C235" s="322" t="str">
        <f t="shared" si="33"/>
        <v>300010414-מערכת שטיפה הרחבה</v>
      </c>
      <c r="D235" s="323">
        <v>45299</v>
      </c>
      <c r="E235" s="114"/>
      <c r="F235" s="324" t="s">
        <v>147</v>
      </c>
      <c r="G235" s="323" t="s">
        <v>610</v>
      </c>
      <c r="H235" s="116"/>
      <c r="I235" s="117"/>
      <c r="J235" s="325" t="s">
        <v>303</v>
      </c>
      <c r="K235" s="325">
        <f>50000+70000</f>
        <v>120000</v>
      </c>
      <c r="L235" s="325" t="s">
        <v>225</v>
      </c>
      <c r="M235" s="118" t="s">
        <v>773</v>
      </c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>
        <f>IF(L235="הפך להזמנה",(N235-#REF!),0)</f>
        <v>0</v>
      </c>
    </row>
    <row r="236" spans="1:24" ht="12.75" customHeight="1">
      <c r="A236" s="67">
        <v>300010415</v>
      </c>
      <c r="B236" s="3" t="s">
        <v>774</v>
      </c>
      <c r="C236" s="135" t="str">
        <f t="shared" si="33"/>
        <v>300010415-שער מנשה</v>
      </c>
      <c r="D236" s="114">
        <v>45603</v>
      </c>
      <c r="E236" s="114"/>
      <c r="F236" s="115" t="s">
        <v>185</v>
      </c>
      <c r="G236" s="114" t="s">
        <v>405</v>
      </c>
      <c r="H236" s="116"/>
      <c r="I236" s="117"/>
      <c r="J236" s="110" t="s">
        <v>139</v>
      </c>
      <c r="K236" s="110">
        <v>100000</v>
      </c>
      <c r="L236" s="110" t="s">
        <v>295</v>
      </c>
      <c r="M236" s="118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>
        <f>IF(L236="הפך להזמנה",(N236-#REF!),0)</f>
        <v>0</v>
      </c>
    </row>
    <row r="237" spans="1:24" ht="12.75" customHeight="1">
      <c r="A237" s="67">
        <v>300010416</v>
      </c>
      <c r="B237" s="3" t="s">
        <v>775</v>
      </c>
      <c r="C237" s="135" t="str">
        <f t="shared" si="33"/>
        <v>300010416-קמפוס אמי"ת</v>
      </c>
      <c r="D237" s="114">
        <v>45603</v>
      </c>
      <c r="E237" s="114"/>
      <c r="F237" s="115" t="s">
        <v>150</v>
      </c>
      <c r="G237" s="114" t="s">
        <v>776</v>
      </c>
      <c r="H237" s="116"/>
      <c r="I237" s="117"/>
      <c r="J237" s="110" t="s">
        <v>139</v>
      </c>
      <c r="K237" s="110">
        <v>323000</v>
      </c>
      <c r="L237" s="110" t="s">
        <v>225</v>
      </c>
      <c r="M237" s="118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>
        <f>IF(L237="הפך להזמנה",(N237-#REF!),0)</f>
        <v>0</v>
      </c>
    </row>
    <row r="238" spans="1:24" ht="12.75" hidden="1" customHeight="1">
      <c r="A238" s="67">
        <v>300010420</v>
      </c>
      <c r="B238" s="3" t="s">
        <v>177</v>
      </c>
      <c r="C238" s="135" t="str">
        <f t="shared" si="33"/>
        <v>300010420-תנובה שו"ב</v>
      </c>
      <c r="D238" s="114">
        <v>45627</v>
      </c>
      <c r="E238" s="114"/>
      <c r="F238" s="115" t="s">
        <v>150</v>
      </c>
      <c r="G238" s="114" t="s">
        <v>512</v>
      </c>
      <c r="H238" s="116"/>
      <c r="I238" s="117"/>
      <c r="J238" s="110" t="s">
        <v>139</v>
      </c>
      <c r="K238" s="110">
        <v>280000</v>
      </c>
      <c r="L238" s="110" t="s">
        <v>151</v>
      </c>
      <c r="M238" s="118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>
        <f>IF(L238="הפך להזמנה",(N238-#REF!),0)</f>
        <v>0</v>
      </c>
    </row>
    <row r="239" spans="1:24" ht="12.75" customHeight="1">
      <c r="A239" s="67">
        <v>300010418</v>
      </c>
      <c r="B239" s="3" t="s">
        <v>777</v>
      </c>
      <c r="C239" s="135" t="str">
        <f t="shared" si="33"/>
        <v>300010418-נתיב מהיר כביש 5</v>
      </c>
      <c r="D239" s="114">
        <v>45614</v>
      </c>
      <c r="E239" s="114"/>
      <c r="F239" s="115" t="s">
        <v>144</v>
      </c>
      <c r="G239" s="114" t="s">
        <v>318</v>
      </c>
      <c r="H239" s="116"/>
      <c r="I239" s="117"/>
      <c r="J239" s="110" t="s">
        <v>139</v>
      </c>
      <c r="K239" s="110">
        <v>2200000</v>
      </c>
      <c r="L239" s="110" t="s">
        <v>295</v>
      </c>
      <c r="M239" s="118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>
        <f>IF(L239="הפך להזמנה",(N239-#REF!),0)</f>
        <v>0</v>
      </c>
    </row>
    <row r="240" spans="1:24" ht="12.75" hidden="1" customHeight="1">
      <c r="A240" s="67">
        <v>300010429</v>
      </c>
      <c r="B240" s="3" t="s">
        <v>778</v>
      </c>
      <c r="C240" s="135" t="str">
        <f t="shared" si="33"/>
        <v xml:space="preserve">300010429-תיקון נזק קניון רננים בקרת מבנה </v>
      </c>
      <c r="D240" s="114">
        <v>45642</v>
      </c>
      <c r="E240" s="114"/>
      <c r="F240" s="115" t="s">
        <v>107</v>
      </c>
      <c r="G240" s="114" t="s">
        <v>779</v>
      </c>
      <c r="H240" s="247"/>
      <c r="I240" s="117"/>
      <c r="J240" s="110" t="s">
        <v>102</v>
      </c>
      <c r="K240" s="110">
        <v>4250</v>
      </c>
      <c r="L240" s="110" t="s">
        <v>151</v>
      </c>
      <c r="M240" s="118"/>
      <c r="N240" s="110">
        <v>0</v>
      </c>
      <c r="O240" s="110">
        <f>K240-N240</f>
        <v>4250</v>
      </c>
      <c r="P240" s="110" t="s">
        <v>301</v>
      </c>
      <c r="Q240" s="110">
        <f>IF(L240="נתקבלה פנייה",K240,0)</f>
        <v>0</v>
      </c>
      <c r="R240" s="110">
        <f>IF(L240="יצאה הצעת מחיר",K240,0)</f>
        <v>0</v>
      </c>
      <c r="S240" s="110">
        <f>IF(L240="משא ומתן",K240,0)</f>
        <v>0</v>
      </c>
      <c r="T240" s="110">
        <f>IF(L240="ממתין להזמנה",K240,0)</f>
        <v>0</v>
      </c>
      <c r="U240" s="110">
        <f>IF(L240="התקבלה הזמנה",K240,0)</f>
        <v>4250</v>
      </c>
      <c r="V240" s="110">
        <f>IF(L240="נפל",K240,0)</f>
        <v>0</v>
      </c>
      <c r="W240" s="110">
        <f>IF(L240="הסתיים",K240,0)</f>
        <v>0</v>
      </c>
      <c r="X240" s="110">
        <f>IF(L240="הפך להזמנה",(N240-#REF!),0)</f>
        <v>0</v>
      </c>
    </row>
    <row r="241" spans="1:24" ht="12.75" hidden="1" customHeight="1">
      <c r="A241" s="67">
        <v>300010407</v>
      </c>
      <c r="B241" s="3" t="s">
        <v>780</v>
      </c>
      <c r="C241" s="135" t="str">
        <f t="shared" si="33"/>
        <v>300010407-מוקד צופה  ג-ו פתרונות אבטחה</v>
      </c>
      <c r="D241" s="114">
        <v>45601</v>
      </c>
      <c r="E241" s="114"/>
      <c r="F241" s="115" t="s">
        <v>107</v>
      </c>
      <c r="G241" s="114"/>
      <c r="H241" s="116"/>
      <c r="I241" s="117"/>
      <c r="J241" s="110" t="s">
        <v>139</v>
      </c>
      <c r="K241" s="110">
        <v>1000000</v>
      </c>
      <c r="L241" s="110" t="s">
        <v>297</v>
      </c>
      <c r="M241" s="118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>
        <f>IF(L241="הפך להזמנה",(N241-#REF!),0)</f>
        <v>0</v>
      </c>
    </row>
    <row r="242" spans="1:24" ht="12.75" customHeight="1">
      <c r="A242" s="67">
        <v>300010431</v>
      </c>
      <c r="B242" s="3" t="s">
        <v>781</v>
      </c>
      <c r="C242" s="135" t="str">
        <f t="shared" si="33"/>
        <v>300010431-חושן מיגון צהלי</v>
      </c>
      <c r="D242" s="114">
        <v>45643</v>
      </c>
      <c r="E242" s="114"/>
      <c r="F242" s="115" t="s">
        <v>107</v>
      </c>
      <c r="G242" s="114"/>
      <c r="H242" s="247"/>
      <c r="I242" s="117"/>
      <c r="J242" s="110" t="s">
        <v>139</v>
      </c>
      <c r="K242" s="110">
        <v>80000</v>
      </c>
      <c r="L242" s="110" t="s">
        <v>295</v>
      </c>
      <c r="M242" s="118" t="s">
        <v>271</v>
      </c>
      <c r="N242" s="110">
        <v>0</v>
      </c>
      <c r="O242" s="110">
        <f>K242-N242</f>
        <v>80000</v>
      </c>
      <c r="P242" s="110" t="s">
        <v>301</v>
      </c>
      <c r="Q242" s="110">
        <f>IF(L242="נתקבלה פנייה",K242,0)</f>
        <v>0</v>
      </c>
      <c r="R242" s="110">
        <f>IF(L242="יצאה הצעת מחיר",K242,0)</f>
        <v>80000</v>
      </c>
      <c r="S242" s="110">
        <f>IF(L242="משא ומתן",K242,0)</f>
        <v>0</v>
      </c>
      <c r="T242" s="110">
        <f>IF(L242="ממתין להזמנה",K242,0)</f>
        <v>0</v>
      </c>
      <c r="U242" s="110">
        <f>IF(L242="התקבלה הזמנה",K242,0)</f>
        <v>0</v>
      </c>
      <c r="V242" s="110">
        <f>IF(L242="נפל",K242,0)</f>
        <v>0</v>
      </c>
      <c r="W242" s="110">
        <f>IF(L242="הסתיים",K242,0)</f>
        <v>0</v>
      </c>
      <c r="X242" s="110">
        <f>IF(L242="הפך להזמנה",(N242-#REF!),0)</f>
        <v>0</v>
      </c>
    </row>
    <row r="243" spans="1:24" ht="12.75" hidden="1" customHeight="1">
      <c r="A243" s="67">
        <v>300010433</v>
      </c>
      <c r="B243" s="3" t="s">
        <v>782</v>
      </c>
      <c r="C243" s="135" t="str">
        <f t="shared" si="33"/>
        <v xml:space="preserve">300010433-תיקון נזק מצלמות קניון רננים </v>
      </c>
      <c r="D243" s="114">
        <v>45649</v>
      </c>
      <c r="E243" s="114"/>
      <c r="F243" s="115" t="s">
        <v>196</v>
      </c>
      <c r="G243" s="114" t="s">
        <v>332</v>
      </c>
      <c r="H243" s="247"/>
      <c r="I243" s="117"/>
      <c r="J243" s="110" t="s">
        <v>227</v>
      </c>
      <c r="K243" s="110">
        <v>8000</v>
      </c>
      <c r="L243" s="110" t="s">
        <v>151</v>
      </c>
      <c r="M243" s="118"/>
      <c r="N243" s="110">
        <v>0</v>
      </c>
      <c r="O243" s="110">
        <f>K243-N243</f>
        <v>8000</v>
      </c>
      <c r="P243" s="110" t="s">
        <v>301</v>
      </c>
      <c r="Q243" s="110">
        <f>IF(L243="נתקבלה פנייה",K243,0)</f>
        <v>0</v>
      </c>
      <c r="R243" s="110">
        <f>IF(L243="יצאה הצעת מחיר",K243,0)</f>
        <v>0</v>
      </c>
      <c r="S243" s="110">
        <f>IF(L243="משא ומתן",K243,0)</f>
        <v>0</v>
      </c>
      <c r="T243" s="110">
        <f>IF(L243="ממתין להזמנה",K243,0)</f>
        <v>0</v>
      </c>
      <c r="U243" s="110">
        <f>IF(L243="התקבלה הזמנה",K243,0)</f>
        <v>8000</v>
      </c>
      <c r="V243" s="110">
        <f>IF(L243="נפל",K243,0)</f>
        <v>0</v>
      </c>
      <c r="W243" s="110">
        <f>IF(L243="הסתיים",K243,0)</f>
        <v>0</v>
      </c>
      <c r="X243" s="110">
        <f>IF(L243="הפך להזמנה",(N243-#REF!),0)</f>
        <v>0</v>
      </c>
    </row>
    <row r="244" spans="1:24" ht="12.75" hidden="1" customHeight="1">
      <c r="A244" s="305">
        <v>300010389</v>
      </c>
      <c r="B244" s="306" t="s">
        <v>783</v>
      </c>
      <c r="C244" s="307" t="str">
        <f t="shared" si="33"/>
        <v>300010389-מדיקל אשדוד מבנה ובקרה</v>
      </c>
      <c r="D244" s="114">
        <v>45519</v>
      </c>
      <c r="E244" s="114"/>
      <c r="F244" s="115" t="s">
        <v>107</v>
      </c>
      <c r="G244" s="114" t="s">
        <v>784</v>
      </c>
      <c r="H244" s="116"/>
      <c r="I244" s="117"/>
      <c r="J244" s="110" t="s">
        <v>108</v>
      </c>
      <c r="K244" s="110">
        <v>400000</v>
      </c>
      <c r="L244" s="110" t="s">
        <v>297</v>
      </c>
      <c r="M244" s="118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>
        <f>IF(L244="הפך להזמנה",(N244-#REF!),0)</f>
        <v>0</v>
      </c>
    </row>
    <row r="245" spans="1:24" ht="12.75" hidden="1" customHeight="1">
      <c r="A245" s="67">
        <v>300010417</v>
      </c>
      <c r="B245" s="3" t="s">
        <v>785</v>
      </c>
      <c r="C245" s="135" t="str">
        <f t="shared" si="33"/>
        <v>300010417-פרויקט עילית מודול זימון אורחים</v>
      </c>
      <c r="D245" s="114">
        <v>45614</v>
      </c>
      <c r="E245" s="114"/>
      <c r="F245" s="115" t="s">
        <v>101</v>
      </c>
      <c r="G245" s="114" t="s">
        <v>786</v>
      </c>
      <c r="H245" s="116"/>
      <c r="I245" s="117"/>
      <c r="J245" s="110" t="s">
        <v>303</v>
      </c>
      <c r="K245" s="110">
        <v>100000</v>
      </c>
      <c r="L245" s="110" t="s">
        <v>297</v>
      </c>
      <c r="M245" s="118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>
        <f>IF(L245="הפך להזמנה",(N245-#REF!),0)</f>
        <v>0</v>
      </c>
    </row>
    <row r="246" spans="1:24" ht="12.75" hidden="1" customHeight="1">
      <c r="A246" s="67">
        <v>300010357</v>
      </c>
      <c r="B246" s="3" t="s">
        <v>787</v>
      </c>
      <c r="C246" s="135" t="str">
        <f t="shared" si="33"/>
        <v>300010357-רכבת ישראל שוב</v>
      </c>
      <c r="D246" s="114">
        <v>45453</v>
      </c>
      <c r="E246" s="114"/>
      <c r="F246" s="115" t="s">
        <v>107</v>
      </c>
      <c r="G246" s="114" t="s">
        <v>788</v>
      </c>
      <c r="H246" s="116"/>
      <c r="I246" s="117"/>
      <c r="J246" s="110" t="s">
        <v>108</v>
      </c>
      <c r="K246" s="110">
        <v>900000</v>
      </c>
      <c r="L246" s="110" t="s">
        <v>297</v>
      </c>
      <c r="M246" s="118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>
        <f>IF(L246="הפך להזמנה",(N246-#REF!),0)</f>
        <v>0</v>
      </c>
    </row>
    <row r="247" spans="1:24" ht="12.75" hidden="1" customHeight="1">
      <c r="A247" s="67">
        <v>300010421</v>
      </c>
      <c r="B247" s="3" t="s">
        <v>789</v>
      </c>
      <c r="C247" s="135" t="str">
        <f t="shared" si="33"/>
        <v>300010421-שוב אש אייקון</v>
      </c>
      <c r="D247" s="114">
        <v>45627</v>
      </c>
      <c r="E247" s="114"/>
      <c r="F247" s="115" t="s">
        <v>199</v>
      </c>
      <c r="G247" s="114" t="s">
        <v>456</v>
      </c>
      <c r="H247" s="116"/>
      <c r="I247" s="117"/>
      <c r="J247" s="110" t="s">
        <v>154</v>
      </c>
      <c r="K247" s="110">
        <v>63000</v>
      </c>
      <c r="L247" s="110" t="s">
        <v>297</v>
      </c>
      <c r="M247" s="118" t="s">
        <v>790</v>
      </c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>
        <f>IF(L247="הפך להזמנה",(N247-#REF!),0)</f>
        <v>0</v>
      </c>
    </row>
    <row r="248" spans="1:24" ht="12.75" hidden="1" customHeight="1">
      <c r="A248" s="67">
        <v>300010419</v>
      </c>
      <c r="B248" s="3" t="s">
        <v>791</v>
      </c>
      <c r="C248" s="135" t="str">
        <f t="shared" si="33"/>
        <v>300010419-ביישובי מוא"ז גולן</v>
      </c>
      <c r="D248" s="114">
        <v>45623</v>
      </c>
      <c r="E248" s="114"/>
      <c r="F248" s="115" t="s">
        <v>150</v>
      </c>
      <c r="G248" s="114" t="s">
        <v>512</v>
      </c>
      <c r="H248" s="116"/>
      <c r="I248" s="117"/>
      <c r="J248" s="110" t="s">
        <v>139</v>
      </c>
      <c r="K248" s="110">
        <v>500000</v>
      </c>
      <c r="L248" s="110" t="s">
        <v>297</v>
      </c>
      <c r="M248" s="118" t="s">
        <v>792</v>
      </c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>
        <f>IF(L248="הפך להזמנה",(N248-#REF!),0)</f>
        <v>0</v>
      </c>
    </row>
    <row r="249" spans="1:24" ht="13.15">
      <c r="A249" s="327">
        <v>300010434</v>
      </c>
      <c r="B249" s="328" t="s">
        <v>793</v>
      </c>
      <c r="C249" s="329" t="str">
        <f t="shared" si="33"/>
        <v>300010434-שוב ביטחון רכבת אלביט</v>
      </c>
      <c r="D249" s="345">
        <v>45661</v>
      </c>
      <c r="E249" s="71"/>
      <c r="F249" s="330" t="s">
        <v>176</v>
      </c>
      <c r="G249" s="345" t="s">
        <v>794</v>
      </c>
      <c r="H249" s="299"/>
      <c r="I249" s="72"/>
      <c r="J249" s="331" t="s">
        <v>139</v>
      </c>
      <c r="K249" s="348">
        <v>1000000</v>
      </c>
      <c r="L249" s="331" t="s">
        <v>225</v>
      </c>
      <c r="M249" s="351"/>
      <c r="N249" s="73">
        <v>0</v>
      </c>
      <c r="O249" s="73">
        <f t="shared" ref="O249:O254" si="34">K249-N249</f>
        <v>1000000</v>
      </c>
      <c r="P249" s="73" t="s">
        <v>301</v>
      </c>
      <c r="Q249" s="73">
        <f t="shared" ref="Q249:Q254" si="35">IF(L249="נתקבלה פנייה",K249,0)</f>
        <v>0</v>
      </c>
      <c r="R249" s="73">
        <f t="shared" ref="R249:R254" si="36">IF(L249="יצאה הצעת מחיר",K249,0)</f>
        <v>0</v>
      </c>
      <c r="S249" s="73">
        <f t="shared" ref="S249:S254" si="37">IF(L249="משא ומתן",K249,0)</f>
        <v>0</v>
      </c>
      <c r="T249" s="73">
        <f t="shared" ref="T249:T254" si="38">IF(L249="ממתין להזמנה",K249,0)</f>
        <v>1000000</v>
      </c>
      <c r="U249" s="73">
        <f t="shared" ref="U249:U254" si="39">IF(L249="התקבלה הזמנה",K249,0)</f>
        <v>0</v>
      </c>
      <c r="V249" s="73">
        <f t="shared" ref="V249:V254" si="40">IF(L249="נפל",K249,0)</f>
        <v>0</v>
      </c>
      <c r="W249" s="110">
        <f t="shared" ref="W249:W254" si="41">IF(L249="הסתיים",K249,0)</f>
        <v>0</v>
      </c>
      <c r="X249" s="73">
        <f>IF(L249="הפך להזמנה",(N249-#REF!),0)</f>
        <v>0</v>
      </c>
    </row>
    <row r="250" spans="1:24" ht="12.75" hidden="1" customHeight="1">
      <c r="A250" s="67">
        <v>300010423</v>
      </c>
      <c r="B250" s="3" t="s">
        <v>795</v>
      </c>
      <c r="C250" s="135" t="str">
        <f t="shared" si="33"/>
        <v>300010423-uvision עמק חפר</v>
      </c>
      <c r="D250" s="71">
        <v>45627</v>
      </c>
      <c r="E250" s="114"/>
      <c r="F250" s="115" t="s">
        <v>147</v>
      </c>
      <c r="G250" s="71" t="s">
        <v>334</v>
      </c>
      <c r="H250" s="248"/>
      <c r="I250" s="117"/>
      <c r="J250" s="110" t="s">
        <v>139</v>
      </c>
      <c r="K250" s="73">
        <v>150000</v>
      </c>
      <c r="L250" s="110" t="s">
        <v>297</v>
      </c>
      <c r="M250" s="74"/>
      <c r="N250" s="73">
        <v>0</v>
      </c>
      <c r="O250" s="73">
        <f t="shared" si="34"/>
        <v>150000</v>
      </c>
      <c r="P250" s="73" t="s">
        <v>301</v>
      </c>
      <c r="Q250" s="73">
        <f t="shared" si="35"/>
        <v>0</v>
      </c>
      <c r="R250" s="73">
        <f t="shared" si="36"/>
        <v>0</v>
      </c>
      <c r="S250" s="73">
        <f t="shared" si="37"/>
        <v>0</v>
      </c>
      <c r="T250" s="73">
        <f t="shared" si="38"/>
        <v>0</v>
      </c>
      <c r="U250" s="73">
        <f t="shared" si="39"/>
        <v>0</v>
      </c>
      <c r="V250" s="73">
        <f t="shared" si="40"/>
        <v>150000</v>
      </c>
      <c r="W250" s="110">
        <f t="shared" si="41"/>
        <v>0</v>
      </c>
      <c r="X250" s="73">
        <f>IF(L250="הפך להזמנה",(N250-#REF!),0)</f>
        <v>0</v>
      </c>
    </row>
    <row r="251" spans="1:24" ht="12.75" hidden="1" customHeight="1">
      <c r="A251" s="67">
        <v>300010425</v>
      </c>
      <c r="B251" s="3" t="s">
        <v>796</v>
      </c>
      <c r="C251" s="135" t="str">
        <f t="shared" ref="C251:C282" si="42">A251&amp;"-"&amp;B251</f>
        <v xml:space="preserve">300010425-מיגון אתרים YTCOM </v>
      </c>
      <c r="D251" s="71">
        <v>45627</v>
      </c>
      <c r="E251" s="114"/>
      <c r="F251" s="115" t="s">
        <v>107</v>
      </c>
      <c r="G251" s="71" t="s">
        <v>797</v>
      </c>
      <c r="I251" s="117"/>
      <c r="J251" s="110" t="s">
        <v>102</v>
      </c>
      <c r="K251" s="73">
        <v>1100000</v>
      </c>
      <c r="L251" s="110" t="s">
        <v>297</v>
      </c>
      <c r="M251" s="74"/>
      <c r="N251" s="73">
        <v>0</v>
      </c>
      <c r="O251" s="73">
        <f t="shared" si="34"/>
        <v>1100000</v>
      </c>
      <c r="P251" s="73" t="s">
        <v>301</v>
      </c>
      <c r="Q251" s="73">
        <f t="shared" si="35"/>
        <v>0</v>
      </c>
      <c r="R251" s="73">
        <f t="shared" si="36"/>
        <v>0</v>
      </c>
      <c r="S251" s="73">
        <f t="shared" si="37"/>
        <v>0</v>
      </c>
      <c r="T251" s="73">
        <f t="shared" si="38"/>
        <v>0</v>
      </c>
      <c r="U251" s="73">
        <f t="shared" si="39"/>
        <v>0</v>
      </c>
      <c r="V251" s="73">
        <f t="shared" si="40"/>
        <v>1100000</v>
      </c>
      <c r="W251" s="110">
        <f t="shared" si="41"/>
        <v>0</v>
      </c>
      <c r="X251" s="73">
        <f>IF(L251="הפך להזמנה",(N251-#REF!),0)</f>
        <v>0</v>
      </c>
    </row>
    <row r="252" spans="1:24" ht="12.75" hidden="1" customHeight="1">
      <c r="A252" s="67">
        <v>300010424</v>
      </c>
      <c r="B252" s="3" t="s">
        <v>798</v>
      </c>
      <c r="C252" s="135" t="str">
        <f t="shared" si="42"/>
        <v>300010424-מיגון שלומי</v>
      </c>
      <c r="D252" s="71">
        <v>45627</v>
      </c>
      <c r="E252" s="114"/>
      <c r="F252" s="115" t="s">
        <v>506</v>
      </c>
      <c r="G252" s="71" t="s">
        <v>507</v>
      </c>
      <c r="I252" s="117"/>
      <c r="J252" s="110" t="s">
        <v>139</v>
      </c>
      <c r="K252" s="73">
        <v>150000</v>
      </c>
      <c r="L252" s="110" t="s">
        <v>297</v>
      </c>
      <c r="M252" s="74" t="s">
        <v>799</v>
      </c>
      <c r="N252" s="73">
        <v>0</v>
      </c>
      <c r="O252" s="73">
        <f t="shared" si="34"/>
        <v>150000</v>
      </c>
      <c r="P252" s="73" t="s">
        <v>301</v>
      </c>
      <c r="Q252" s="73">
        <f t="shared" si="35"/>
        <v>0</v>
      </c>
      <c r="R252" s="73">
        <f t="shared" si="36"/>
        <v>0</v>
      </c>
      <c r="S252" s="73">
        <f t="shared" si="37"/>
        <v>0</v>
      </c>
      <c r="T252" s="73">
        <f t="shared" si="38"/>
        <v>0</v>
      </c>
      <c r="U252" s="73">
        <f t="shared" si="39"/>
        <v>0</v>
      </c>
      <c r="V252" s="73">
        <f t="shared" si="40"/>
        <v>150000</v>
      </c>
      <c r="W252" s="110">
        <f t="shared" si="41"/>
        <v>0</v>
      </c>
      <c r="X252" s="73">
        <f>IF(L252="הפך להזמנה",(N252-#REF!),0)</f>
        <v>0</v>
      </c>
    </row>
    <row r="253" spans="1:24" ht="12.75" hidden="1" customHeight="1">
      <c r="A253" s="67">
        <v>300010426</v>
      </c>
      <c r="B253" s="3" t="s">
        <v>800</v>
      </c>
      <c r="C253" s="135" t="str">
        <f t="shared" si="42"/>
        <v>300010426-מערכת זימון אורחים סקיי טאוור</v>
      </c>
      <c r="D253" s="71">
        <v>45641</v>
      </c>
      <c r="E253" s="114"/>
      <c r="F253" s="115" t="s">
        <v>107</v>
      </c>
      <c r="G253" s="71" t="s">
        <v>801</v>
      </c>
      <c r="I253" s="117"/>
      <c r="J253" s="110" t="s">
        <v>303</v>
      </c>
      <c r="K253" s="73">
        <v>100000</v>
      </c>
      <c r="L253" s="110" t="s">
        <v>297</v>
      </c>
      <c r="M253" s="74"/>
      <c r="N253" s="73">
        <v>0</v>
      </c>
      <c r="O253" s="73">
        <f t="shared" si="34"/>
        <v>100000</v>
      </c>
      <c r="P253" s="73" t="s">
        <v>301</v>
      </c>
      <c r="Q253" s="73">
        <f t="shared" si="35"/>
        <v>0</v>
      </c>
      <c r="R253" s="73">
        <f t="shared" si="36"/>
        <v>0</v>
      </c>
      <c r="S253" s="73">
        <f t="shared" si="37"/>
        <v>0</v>
      </c>
      <c r="T253" s="73">
        <f t="shared" si="38"/>
        <v>0</v>
      </c>
      <c r="U253" s="73">
        <f t="shared" si="39"/>
        <v>0</v>
      </c>
      <c r="V253" s="73">
        <f t="shared" si="40"/>
        <v>100000</v>
      </c>
      <c r="W253" s="110">
        <f t="shared" si="41"/>
        <v>0</v>
      </c>
      <c r="X253" s="73">
        <f>IF(L253="הפך להזמנה",(N253-#REF!),0)</f>
        <v>0</v>
      </c>
    </row>
    <row r="254" spans="1:24" ht="12.75" hidden="1" customHeight="1">
      <c r="A254" s="67">
        <v>300010427</v>
      </c>
      <c r="B254" s="3" t="s">
        <v>802</v>
      </c>
      <c r="C254" s="135" t="str">
        <f t="shared" si="42"/>
        <v>300010427-מטורטק בטחון</v>
      </c>
      <c r="D254" s="71">
        <v>45641</v>
      </c>
      <c r="E254" s="114"/>
      <c r="F254" s="115" t="s">
        <v>150</v>
      </c>
      <c r="G254" s="71" t="s">
        <v>776</v>
      </c>
      <c r="I254" s="117"/>
      <c r="J254" s="110" t="s">
        <v>139</v>
      </c>
      <c r="K254" s="73">
        <v>80000</v>
      </c>
      <c r="L254" s="110" t="s">
        <v>297</v>
      </c>
      <c r="M254" s="74"/>
      <c r="N254" s="73">
        <v>0</v>
      </c>
      <c r="O254" s="73">
        <f t="shared" si="34"/>
        <v>80000</v>
      </c>
      <c r="P254" s="73" t="s">
        <v>301</v>
      </c>
      <c r="Q254" s="73">
        <f t="shared" si="35"/>
        <v>0</v>
      </c>
      <c r="R254" s="73">
        <f t="shared" si="36"/>
        <v>0</v>
      </c>
      <c r="S254" s="73">
        <f t="shared" si="37"/>
        <v>0</v>
      </c>
      <c r="T254" s="73">
        <f t="shared" si="38"/>
        <v>0</v>
      </c>
      <c r="U254" s="73">
        <f t="shared" si="39"/>
        <v>0</v>
      </c>
      <c r="V254" s="73">
        <f t="shared" si="40"/>
        <v>80000</v>
      </c>
      <c r="W254" s="110">
        <f t="shared" si="41"/>
        <v>0</v>
      </c>
      <c r="X254" s="73">
        <f>IF(L254="הפך להזמנה",(N254-#REF!),0)</f>
        <v>0</v>
      </c>
    </row>
    <row r="255" spans="1:24" ht="12.75" hidden="1" customHeight="1">
      <c r="A255" s="67">
        <v>300010399</v>
      </c>
      <c r="B255" s="3" t="s">
        <v>803</v>
      </c>
      <c r="C255" s="135" t="str">
        <f t="shared" si="42"/>
        <v>300010399-מיגון ישובי הצפון</v>
      </c>
      <c r="D255" s="71">
        <v>45550</v>
      </c>
      <c r="E255" s="114"/>
      <c r="F255" s="115" t="s">
        <v>271</v>
      </c>
      <c r="G255" s="71"/>
      <c r="H255" s="248"/>
      <c r="I255" s="117"/>
      <c r="J255" s="110" t="s">
        <v>139</v>
      </c>
      <c r="K255" s="73">
        <v>1000000</v>
      </c>
      <c r="L255" s="110" t="s">
        <v>297</v>
      </c>
      <c r="M255" s="74" t="s">
        <v>804</v>
      </c>
      <c r="N255" s="73"/>
      <c r="O255" s="73"/>
      <c r="P255" s="73"/>
      <c r="Q255" s="73"/>
      <c r="R255" s="73"/>
      <c r="S255" s="73"/>
      <c r="T255" s="73"/>
      <c r="U255" s="73"/>
      <c r="V255" s="73"/>
      <c r="W255" s="110"/>
      <c r="X255" s="73">
        <f>IF(L255="הפך להזמנה",(N255-#REF!),0)</f>
        <v>0</v>
      </c>
    </row>
    <row r="256" spans="1:24" ht="12.75" customHeight="1">
      <c r="A256" s="320">
        <v>300010441</v>
      </c>
      <c r="B256" s="321" t="s">
        <v>805</v>
      </c>
      <c r="C256" s="322" t="str">
        <f t="shared" si="42"/>
        <v>300010441-בנק פועלים סניפים</v>
      </c>
      <c r="D256" s="343">
        <v>45672</v>
      </c>
      <c r="E256" s="114"/>
      <c r="F256" s="324" t="s">
        <v>144</v>
      </c>
      <c r="G256" s="343" t="s">
        <v>318</v>
      </c>
      <c r="I256" s="117"/>
      <c r="J256" s="325" t="s">
        <v>139</v>
      </c>
      <c r="K256" s="347">
        <v>1000000</v>
      </c>
      <c r="L256" s="325" t="s">
        <v>295</v>
      </c>
      <c r="M256" s="349" t="s">
        <v>806</v>
      </c>
      <c r="N256" s="73">
        <v>0</v>
      </c>
      <c r="O256" s="73">
        <f>K256-N256</f>
        <v>1000000</v>
      </c>
      <c r="P256" s="73" t="s">
        <v>301</v>
      </c>
      <c r="Q256" s="73">
        <f>IF(L256="נתקבלה פנייה",K256,0)</f>
        <v>0</v>
      </c>
      <c r="R256" s="73">
        <f>IF(L256="יצאה הצעת מחיר",K256,0)</f>
        <v>1000000</v>
      </c>
      <c r="S256" s="73">
        <f>IF(L256="משא ומתן",K256,0)</f>
        <v>0</v>
      </c>
      <c r="T256" s="73">
        <f>IF(L256="ממתין להזמנה",K256,0)</f>
        <v>0</v>
      </c>
      <c r="U256" s="73">
        <f>IF(L256="התקבלה הזמנה",K256,0)</f>
        <v>0</v>
      </c>
      <c r="V256" s="73">
        <f>IF(L256="נפל",K256,0)</f>
        <v>0</v>
      </c>
      <c r="W256" s="110">
        <f>IF(L256="הסתיים",K256,0)</f>
        <v>0</v>
      </c>
      <c r="X256" s="73">
        <f>IF(L256="הפך להזמנה",(N256-#REF!),0)</f>
        <v>0</v>
      </c>
    </row>
    <row r="257" spans="1:24" ht="12.75" hidden="1" customHeight="1">
      <c r="A257" s="67">
        <v>300010430</v>
      </c>
      <c r="B257" s="3" t="s">
        <v>807</v>
      </c>
      <c r="C257" s="135" t="str">
        <f t="shared" si="42"/>
        <v>300010430-יובלים אשדוד</v>
      </c>
      <c r="D257" s="71">
        <v>45643</v>
      </c>
      <c r="E257" s="114"/>
      <c r="F257" s="115" t="s">
        <v>710</v>
      </c>
      <c r="G257" s="71" t="s">
        <v>808</v>
      </c>
      <c r="I257" s="117"/>
      <c r="J257" s="110" t="s">
        <v>139</v>
      </c>
      <c r="K257" s="73">
        <v>180000</v>
      </c>
      <c r="L257" s="110" t="s">
        <v>297</v>
      </c>
      <c r="M257" s="74" t="s">
        <v>809</v>
      </c>
      <c r="N257" s="73">
        <v>0</v>
      </c>
      <c r="O257" s="73">
        <f>K257-N257</f>
        <v>180000</v>
      </c>
      <c r="P257" s="73" t="s">
        <v>301</v>
      </c>
      <c r="Q257" s="73">
        <f>IF(L257="נתקבלה פנייה",K257,0)</f>
        <v>0</v>
      </c>
      <c r="R257" s="73">
        <f>IF(L257="יצאה הצעת מחיר",K257,0)</f>
        <v>0</v>
      </c>
      <c r="S257" s="73">
        <f>IF(L257="משא ומתן",K257,0)</f>
        <v>0</v>
      </c>
      <c r="T257" s="73">
        <f>IF(L257="ממתין להזמנה",K257,0)</f>
        <v>0</v>
      </c>
      <c r="U257" s="73">
        <f>IF(L257="התקבלה הזמנה",K257,0)</f>
        <v>0</v>
      </c>
      <c r="V257" s="73">
        <f>IF(L257="נפל",K257,0)</f>
        <v>180000</v>
      </c>
      <c r="W257" s="110">
        <f>IF(L257="הסתיים",K257,0)</f>
        <v>0</v>
      </c>
      <c r="X257" s="73">
        <f>IF(L257="הפך להזמנה",(N257-#REF!),0)</f>
        <v>0</v>
      </c>
    </row>
    <row r="258" spans="1:24" ht="12.75" hidden="1" customHeight="1">
      <c r="A258" s="67">
        <v>300010437</v>
      </c>
      <c r="B258" s="3" t="s">
        <v>179</v>
      </c>
      <c r="C258" s="135" t="str">
        <f t="shared" si="42"/>
        <v>300010437-מערכת בקרת כניסה בזא</v>
      </c>
      <c r="D258" s="71">
        <v>45670</v>
      </c>
      <c r="E258" s="114"/>
      <c r="F258" s="115" t="s">
        <v>120</v>
      </c>
      <c r="G258" s="71" t="s">
        <v>498</v>
      </c>
      <c r="I258" s="117"/>
      <c r="J258" s="110" t="s">
        <v>139</v>
      </c>
      <c r="K258" s="73">
        <v>230000</v>
      </c>
      <c r="L258" s="110" t="s">
        <v>151</v>
      </c>
      <c r="M258" s="74"/>
      <c r="N258" s="73">
        <v>0</v>
      </c>
      <c r="O258" s="73">
        <f>K258-N258</f>
        <v>230000</v>
      </c>
      <c r="P258" s="73" t="s">
        <v>301</v>
      </c>
      <c r="Q258" s="73">
        <f>IF(L258="נתקבלה פנייה",K258,0)</f>
        <v>0</v>
      </c>
      <c r="R258" s="73">
        <f>IF(L258="יצאה הצעת מחיר",K258,0)</f>
        <v>0</v>
      </c>
      <c r="S258" s="73">
        <f>IF(L258="משא ומתן",K258,0)</f>
        <v>0</v>
      </c>
      <c r="T258" s="73">
        <f>IF(L258="ממתין להזמנה",K258,0)</f>
        <v>0</v>
      </c>
      <c r="U258" s="73">
        <f>IF(L258="התקבלה הזמנה",K258,0)</f>
        <v>230000</v>
      </c>
      <c r="V258" s="73">
        <f>IF(L258="נפל",K258,0)</f>
        <v>0</v>
      </c>
      <c r="W258" s="110">
        <f>IF(L258="הסתיים",K258,0)</f>
        <v>0</v>
      </c>
      <c r="X258" s="73">
        <f>IF(L258="הפך להזמנה",(N258-#REF!),0)</f>
        <v>0</v>
      </c>
    </row>
    <row r="259" spans="1:24" ht="12.75" hidden="1" customHeight="1">
      <c r="A259" s="67">
        <v>300010432</v>
      </c>
      <c r="B259" s="3" t="s">
        <v>810</v>
      </c>
      <c r="C259" s="135" t="str">
        <f t="shared" si="42"/>
        <v xml:space="preserve">300010432-רימון ארונות בקרה </v>
      </c>
      <c r="D259" s="71">
        <v>45649</v>
      </c>
      <c r="E259" s="114"/>
      <c r="F259" s="115" t="s">
        <v>107</v>
      </c>
      <c r="G259" s="71" t="s">
        <v>811</v>
      </c>
      <c r="I259" s="117"/>
      <c r="J259" s="110" t="s">
        <v>102</v>
      </c>
      <c r="K259" s="73">
        <v>135920</v>
      </c>
      <c r="L259" s="110" t="s">
        <v>297</v>
      </c>
      <c r="M259" s="74"/>
      <c r="N259" s="73">
        <v>0</v>
      </c>
      <c r="O259" s="73">
        <f>K259-N259</f>
        <v>135920</v>
      </c>
      <c r="P259" s="73" t="s">
        <v>301</v>
      </c>
      <c r="Q259" s="73">
        <f>IF(L259="נתקבלה פנייה",K259,0)</f>
        <v>0</v>
      </c>
      <c r="R259" s="73">
        <f>IF(L259="יצאה הצעת מחיר",K259,0)</f>
        <v>0</v>
      </c>
      <c r="S259" s="73">
        <f>IF(L259="משא ומתן",K259,0)</f>
        <v>0</v>
      </c>
      <c r="T259" s="73">
        <f>IF(L259="ממתין להזמנה",K259,0)</f>
        <v>0</v>
      </c>
      <c r="U259" s="73">
        <f>IF(L259="התקבלה הזמנה",K259,0)</f>
        <v>0</v>
      </c>
      <c r="V259" s="73">
        <f>IF(L259="נפל",K259,0)</f>
        <v>135920</v>
      </c>
      <c r="W259" s="110">
        <f>IF(L259="הסתיים",K259,0)</f>
        <v>0</v>
      </c>
      <c r="X259" s="73">
        <f>IF(L259="הפך להזמנה",(N259-#REF!),0)</f>
        <v>0</v>
      </c>
    </row>
    <row r="260" spans="1:24" ht="13.15" hidden="1">
      <c r="A260" s="67">
        <v>300010438</v>
      </c>
      <c r="B260" s="3" t="s">
        <v>812</v>
      </c>
      <c r="C260" s="135" t="str">
        <f t="shared" si="42"/>
        <v>300010438-אינפיניטי תוספות בקרה</v>
      </c>
      <c r="D260" s="71">
        <v>45672</v>
      </c>
      <c r="E260" s="114"/>
      <c r="F260" s="115" t="s">
        <v>107</v>
      </c>
      <c r="G260" s="71" t="s">
        <v>813</v>
      </c>
      <c r="I260" s="117"/>
      <c r="J260" s="110" t="s">
        <v>102</v>
      </c>
      <c r="K260" s="73">
        <v>250000</v>
      </c>
      <c r="L260" s="110" t="s">
        <v>151</v>
      </c>
      <c r="M260" s="74"/>
      <c r="N260" s="73">
        <v>0</v>
      </c>
      <c r="O260" s="73">
        <f>K260-N260</f>
        <v>250000</v>
      </c>
      <c r="P260" s="73" t="s">
        <v>301</v>
      </c>
      <c r="Q260" s="73">
        <f>IF(L260="נתקבלה פנייה",K260,0)</f>
        <v>0</v>
      </c>
      <c r="R260" s="73">
        <f>IF(L260="יצאה הצעת מחיר",K260,0)</f>
        <v>0</v>
      </c>
      <c r="S260" s="73">
        <f>IF(L260="משא ומתן",K260,0)</f>
        <v>0</v>
      </c>
      <c r="T260" s="73">
        <f>IF(L260="ממתין להזמנה",K260,0)</f>
        <v>0</v>
      </c>
      <c r="U260" s="73">
        <f>IF(L260="התקבלה הזמנה",K260,0)</f>
        <v>250000</v>
      </c>
      <c r="V260" s="73">
        <f>IF(L260="נפל",K260,0)</f>
        <v>0</v>
      </c>
      <c r="W260" s="110">
        <f>IF(L260="הסתיים",K260,0)</f>
        <v>0</v>
      </c>
      <c r="X260" s="73">
        <f>IF(L260="הפך להזמנה",(N260-#REF!),0)</f>
        <v>0</v>
      </c>
    </row>
    <row r="261" spans="1:24" ht="12.75" customHeight="1">
      <c r="A261" s="67">
        <v>300010400</v>
      </c>
      <c r="B261" s="3" t="s">
        <v>222</v>
      </c>
      <c r="C261" s="135" t="str">
        <f t="shared" si="42"/>
        <v>300010400-דיור ממשלתי גיסין</v>
      </c>
      <c r="D261" s="71">
        <v>45550</v>
      </c>
      <c r="E261" s="114"/>
      <c r="F261" s="115" t="s">
        <v>150</v>
      </c>
      <c r="G261" s="71" t="s">
        <v>512</v>
      </c>
      <c r="H261" s="248"/>
      <c r="I261" s="117"/>
      <c r="J261" s="110" t="s">
        <v>139</v>
      </c>
      <c r="K261" s="73">
        <v>200000</v>
      </c>
      <c r="L261" s="110" t="s">
        <v>225</v>
      </c>
      <c r="M261" s="74" t="s">
        <v>814</v>
      </c>
      <c r="N261" s="73"/>
      <c r="O261" s="73"/>
      <c r="P261" s="73"/>
      <c r="Q261" s="73"/>
      <c r="R261" s="73"/>
      <c r="S261" s="73"/>
      <c r="T261" s="73"/>
      <c r="U261" s="73"/>
      <c r="V261" s="73"/>
      <c r="W261" s="110"/>
      <c r="X261" s="73">
        <f>IF(L261="הפך להזמנה",(N261-#REF!),0)</f>
        <v>0</v>
      </c>
    </row>
    <row r="262" spans="1:24" ht="12.75" customHeight="1">
      <c r="A262" s="265">
        <v>300010451</v>
      </c>
      <c r="B262" s="3" t="s">
        <v>815</v>
      </c>
      <c r="C262" s="135" t="str">
        <f t="shared" si="42"/>
        <v>300010451-סודה סטרים שו"ב אש</v>
      </c>
      <c r="D262" s="71">
        <v>45684</v>
      </c>
      <c r="E262" s="114"/>
      <c r="F262" s="114" t="s">
        <v>199</v>
      </c>
      <c r="G262" s="71" t="s">
        <v>456</v>
      </c>
      <c r="H262" s="308"/>
      <c r="I262" s="117"/>
      <c r="J262" s="110" t="s">
        <v>154</v>
      </c>
      <c r="K262" s="73">
        <v>65000</v>
      </c>
      <c r="L262" s="110" t="s">
        <v>295</v>
      </c>
      <c r="M262" s="74"/>
      <c r="N262" s="73"/>
      <c r="O262" s="73"/>
      <c r="P262" s="73"/>
      <c r="Q262" s="73"/>
      <c r="R262" s="73"/>
      <c r="S262" s="73"/>
      <c r="T262" s="73"/>
      <c r="U262" s="73"/>
      <c r="V262" s="73"/>
      <c r="W262" s="110"/>
      <c r="X262" s="73"/>
    </row>
    <row r="263" spans="1:24" ht="12.75" hidden="1" customHeight="1">
      <c r="A263" s="67">
        <v>300010436</v>
      </c>
      <c r="B263" s="3" t="s">
        <v>816</v>
      </c>
      <c r="C263" s="135" t="str">
        <f t="shared" si="42"/>
        <v>300010436-בקרה מבנה אוניברסיטת בן גוריון</v>
      </c>
      <c r="D263" s="71">
        <v>45670</v>
      </c>
      <c r="E263" s="114"/>
      <c r="F263" s="115" t="s">
        <v>107</v>
      </c>
      <c r="G263" s="71" t="s">
        <v>817</v>
      </c>
      <c r="I263" s="117"/>
      <c r="J263" s="110" t="s">
        <v>108</v>
      </c>
      <c r="K263" s="73">
        <v>87000</v>
      </c>
      <c r="L263" s="110" t="s">
        <v>297</v>
      </c>
      <c r="M263" s="74"/>
      <c r="N263" s="73">
        <v>0</v>
      </c>
      <c r="O263" s="73">
        <f>K263-N263</f>
        <v>87000</v>
      </c>
      <c r="P263" s="73" t="s">
        <v>301</v>
      </c>
      <c r="Q263" s="73">
        <f>IF(L263="נתקבלה פנייה",K263,0)</f>
        <v>0</v>
      </c>
      <c r="R263" s="73">
        <f>IF(L263="יצאה הצעת מחיר",K263,0)</f>
        <v>0</v>
      </c>
      <c r="S263" s="73">
        <f>IF(L263="משא ומתן",K263,0)</f>
        <v>0</v>
      </c>
      <c r="T263" s="73">
        <f>IF(L263="ממתין להזמנה",K263,0)</f>
        <v>0</v>
      </c>
      <c r="U263" s="73">
        <f>IF(L263="התקבלה הזמנה",K263,0)</f>
        <v>0</v>
      </c>
      <c r="V263" s="73">
        <f>IF(L263="נפל",K263,0)</f>
        <v>87000</v>
      </c>
      <c r="W263" s="110">
        <f>IF(L263="הסתיים",K263,0)</f>
        <v>0</v>
      </c>
      <c r="X263" s="73">
        <f>IF(L263="הפך להזמנה",(N263-#REF!),0)</f>
        <v>0</v>
      </c>
    </row>
    <row r="264" spans="1:24" ht="12.75" hidden="1" customHeight="1">
      <c r="A264" s="67">
        <v>300010440</v>
      </c>
      <c r="B264" s="3" t="s">
        <v>818</v>
      </c>
      <c r="C264" s="135" t="str">
        <f t="shared" si="42"/>
        <v xml:space="preserve">300010440-משרד האוצר נתניה </v>
      </c>
      <c r="D264" s="71">
        <v>45672</v>
      </c>
      <c r="E264" s="114"/>
      <c r="F264" s="115" t="s">
        <v>144</v>
      </c>
      <c r="G264" s="71" t="s">
        <v>819</v>
      </c>
      <c r="I264" s="117"/>
      <c r="J264" s="110" t="s">
        <v>139</v>
      </c>
      <c r="K264" s="73">
        <v>6000</v>
      </c>
      <c r="L264" s="110" t="s">
        <v>151</v>
      </c>
      <c r="M264" s="74" t="s">
        <v>820</v>
      </c>
      <c r="N264" s="73">
        <v>0</v>
      </c>
      <c r="O264" s="73">
        <f>K264-N264</f>
        <v>6000</v>
      </c>
      <c r="P264" s="73" t="s">
        <v>301</v>
      </c>
      <c r="Q264" s="73">
        <f>IF(L264="נתקבלה פנייה",K264,0)</f>
        <v>0</v>
      </c>
      <c r="R264" s="73">
        <f>IF(L264="יצאה הצעת מחיר",K264,0)</f>
        <v>0</v>
      </c>
      <c r="S264" s="73">
        <f>IF(L264="משא ומתן",K264,0)</f>
        <v>0</v>
      </c>
      <c r="T264" s="73">
        <f>IF(L264="ממתין להזמנה",K264,0)</f>
        <v>0</v>
      </c>
      <c r="U264" s="73">
        <f>IF(L264="התקבלה הזמנה",K264,0)</f>
        <v>6000</v>
      </c>
      <c r="V264" s="73">
        <f>IF(L264="נפל",K264,0)</f>
        <v>0</v>
      </c>
      <c r="W264" s="110">
        <f>IF(L264="הסתיים",K264,0)</f>
        <v>0</v>
      </c>
      <c r="X264" s="73">
        <f>IF(L264="הפך להזמנה",(N264-#REF!),0)</f>
        <v>0</v>
      </c>
    </row>
    <row r="265" spans="1:24" ht="12.75" hidden="1" customHeight="1">
      <c r="A265" s="67">
        <v>300010401</v>
      </c>
      <c r="B265" s="3" t="s">
        <v>821</v>
      </c>
      <c r="C265" s="135" t="str">
        <f t="shared" si="42"/>
        <v>300010401-שדרוג שוב אש מכללת נתניה</v>
      </c>
      <c r="D265" s="71">
        <v>45558</v>
      </c>
      <c r="E265" s="114"/>
      <c r="F265" s="115" t="s">
        <v>207</v>
      </c>
      <c r="G265" s="71" t="s">
        <v>338</v>
      </c>
      <c r="H265" s="248"/>
      <c r="I265" s="117"/>
      <c r="J265" s="110" t="s">
        <v>154</v>
      </c>
      <c r="K265" s="73">
        <v>24000</v>
      </c>
      <c r="L265" s="110" t="s">
        <v>297</v>
      </c>
      <c r="M265" s="74"/>
      <c r="N265" s="73"/>
      <c r="O265" s="73"/>
      <c r="P265" s="73"/>
      <c r="Q265" s="73"/>
      <c r="R265" s="73"/>
      <c r="S265" s="73"/>
      <c r="T265" s="73"/>
      <c r="U265" s="73"/>
      <c r="V265" s="73"/>
      <c r="W265" s="110"/>
      <c r="X265" s="73">
        <f>IF(L265="הפך להזמנה",(N265-#REF!),0)</f>
        <v>0</v>
      </c>
    </row>
    <row r="266" spans="1:24" ht="12.75" customHeight="1">
      <c r="A266" s="67">
        <v>300010455</v>
      </c>
      <c r="B266" s="3" t="s">
        <v>822</v>
      </c>
      <c r="C266" s="135" t="str">
        <f t="shared" si="42"/>
        <v>300010455-שוב אש  אריאל</v>
      </c>
      <c r="D266" s="71">
        <v>45684</v>
      </c>
      <c r="E266" s="114"/>
      <c r="F266" s="114" t="s">
        <v>199</v>
      </c>
      <c r="G266" s="71" t="s">
        <v>456</v>
      </c>
      <c r="H266" s="308"/>
      <c r="I266" s="117"/>
      <c r="J266" s="110" t="s">
        <v>154</v>
      </c>
      <c r="K266" s="73"/>
      <c r="L266" s="110" t="s">
        <v>294</v>
      </c>
      <c r="M266" s="74"/>
      <c r="N266" s="73"/>
      <c r="O266" s="73"/>
      <c r="P266" s="73"/>
      <c r="Q266" s="73"/>
      <c r="R266" s="73"/>
      <c r="S266" s="73"/>
      <c r="T266" s="73"/>
      <c r="U266" s="73"/>
      <c r="V266" s="73"/>
      <c r="W266" s="110"/>
      <c r="X266" s="73"/>
    </row>
    <row r="267" spans="1:24" ht="12.75" hidden="1" customHeight="1">
      <c r="A267" s="67">
        <v>300010445</v>
      </c>
      <c r="B267" s="3" t="s">
        <v>812</v>
      </c>
      <c r="C267" s="135" t="str">
        <f t="shared" si="42"/>
        <v>300010445-אינפיניטי תוספות בקרה</v>
      </c>
      <c r="D267" s="71">
        <v>45672</v>
      </c>
      <c r="E267" s="114" t="s">
        <v>107</v>
      </c>
      <c r="F267" s="114" t="s">
        <v>813</v>
      </c>
      <c r="G267" s="71" t="s">
        <v>813</v>
      </c>
      <c r="H267" s="308">
        <v>250000</v>
      </c>
      <c r="I267" s="117"/>
      <c r="J267" s="110" t="s">
        <v>102</v>
      </c>
      <c r="K267" s="73">
        <v>270000</v>
      </c>
      <c r="L267" s="110" t="s">
        <v>151</v>
      </c>
      <c r="M267" s="74"/>
      <c r="N267" s="73">
        <v>0</v>
      </c>
      <c r="O267" s="73">
        <f>K267-N267</f>
        <v>270000</v>
      </c>
      <c r="P267" s="73" t="s">
        <v>301</v>
      </c>
      <c r="Q267" s="73">
        <f>IF(L267="נתקבלה פנייה",K267,0)</f>
        <v>0</v>
      </c>
      <c r="R267" s="73">
        <f>IF(L267="יצאה הצעת מחיר",K267,0)</f>
        <v>0</v>
      </c>
      <c r="S267" s="73">
        <f>IF(L267="משא ומתן",K267,0)</f>
        <v>0</v>
      </c>
      <c r="T267" s="73">
        <f>IF(L267="ממתין להזמנה",K267,0)</f>
        <v>0</v>
      </c>
      <c r="U267" s="73">
        <f>IF(L267="התקבלה הזמנה",K267,0)</f>
        <v>270000</v>
      </c>
      <c r="V267" s="73">
        <f>IF(L267="נפל",K267,0)</f>
        <v>0</v>
      </c>
      <c r="W267" s="110">
        <f>IF(L267="הסתיים",K267,0)</f>
        <v>0</v>
      </c>
      <c r="X267" s="73">
        <f>IF(L267="הפך להזמנה",(N267-#REF!),0)</f>
        <v>0</v>
      </c>
    </row>
    <row r="268" spans="1:24" ht="13.15">
      <c r="A268" s="67">
        <v>300010456</v>
      </c>
      <c r="B268" s="3" t="s">
        <v>823</v>
      </c>
      <c r="C268" s="135" t="str">
        <f t="shared" si="42"/>
        <v>300010456-שו"ב אש אוני חיפה</v>
      </c>
      <c r="D268" s="71">
        <v>45684</v>
      </c>
      <c r="E268" s="114"/>
      <c r="F268" s="71" t="s">
        <v>199</v>
      </c>
      <c r="G268" s="71" t="s">
        <v>456</v>
      </c>
      <c r="H268" s="73"/>
      <c r="I268" s="117"/>
      <c r="J268" s="110" t="s">
        <v>154</v>
      </c>
      <c r="K268" s="73"/>
      <c r="L268" s="110" t="s">
        <v>294</v>
      </c>
      <c r="M268" s="74"/>
      <c r="N268" s="73"/>
      <c r="O268" s="73"/>
      <c r="P268" s="73"/>
      <c r="Q268" s="73"/>
      <c r="R268" s="73"/>
      <c r="S268" s="73"/>
      <c r="T268" s="73"/>
      <c r="U268" s="73"/>
      <c r="V268" s="73"/>
      <c r="W268" s="110"/>
      <c r="X268" s="73"/>
    </row>
    <row r="269" spans="1:24" ht="13.15" hidden="1">
      <c r="A269" s="173">
        <v>300010345</v>
      </c>
      <c r="B269" s="177" t="s">
        <v>824</v>
      </c>
      <c r="C269" s="135" t="str">
        <f t="shared" si="42"/>
        <v>300010345-אוריין לב הארץ 1 - בקרת טמפרטורהV2</v>
      </c>
      <c r="D269" s="174">
        <v>45420</v>
      </c>
      <c r="E269" s="114"/>
      <c r="F269" s="314" t="s">
        <v>107</v>
      </c>
      <c r="G269" s="174" t="s">
        <v>825</v>
      </c>
      <c r="H269" s="315"/>
      <c r="I269" s="117"/>
      <c r="J269" s="159" t="s">
        <v>102</v>
      </c>
      <c r="K269" s="175">
        <v>27000</v>
      </c>
      <c r="L269" s="159" t="s">
        <v>151</v>
      </c>
      <c r="M269" s="176"/>
      <c r="N269" s="160"/>
      <c r="O269" s="160"/>
      <c r="P269" s="160"/>
      <c r="Q269" s="160"/>
      <c r="R269" s="160"/>
      <c r="S269" s="160"/>
      <c r="T269" s="160"/>
      <c r="U269" s="160"/>
      <c r="V269" s="160"/>
      <c r="W269" s="160"/>
      <c r="X269" s="160">
        <f>IF(L269="הפך להזמנה",(N269-#REF!),0)</f>
        <v>0</v>
      </c>
    </row>
    <row r="270" spans="1:24" ht="12.75" hidden="1" customHeight="1">
      <c r="A270" s="173">
        <v>300010453</v>
      </c>
      <c r="B270" s="177" t="s">
        <v>826</v>
      </c>
      <c r="C270" s="135" t="str">
        <f t="shared" si="42"/>
        <v>300010453-ביוטכנלוגיות</v>
      </c>
      <c r="D270" s="178">
        <v>45684</v>
      </c>
      <c r="E270" s="114"/>
      <c r="F270" s="178" t="s">
        <v>199</v>
      </c>
      <c r="G270" s="178" t="s">
        <v>456</v>
      </c>
      <c r="H270" s="160"/>
      <c r="I270" s="117"/>
      <c r="J270" s="180" t="s">
        <v>154</v>
      </c>
      <c r="K270" s="180">
        <v>35000</v>
      </c>
      <c r="L270" s="180" t="s">
        <v>151</v>
      </c>
      <c r="M270" s="181"/>
      <c r="N270" s="160"/>
      <c r="O270" s="160"/>
      <c r="P270" s="160"/>
      <c r="Q270" s="160"/>
      <c r="R270" s="160"/>
      <c r="S270" s="160"/>
      <c r="T270" s="160"/>
      <c r="U270" s="160"/>
      <c r="V270" s="160"/>
      <c r="W270" s="160"/>
      <c r="X270" s="160"/>
    </row>
    <row r="271" spans="1:24" ht="12.75" hidden="1" customHeight="1">
      <c r="A271" s="173">
        <v>300010454</v>
      </c>
      <c r="B271" s="177" t="s">
        <v>827</v>
      </c>
      <c r="C271" s="135" t="str">
        <f t="shared" si="42"/>
        <v>300010454-שוב אש באר שבע</v>
      </c>
      <c r="D271" s="178">
        <v>45684</v>
      </c>
      <c r="E271" s="114"/>
      <c r="F271" s="178" t="s">
        <v>199</v>
      </c>
      <c r="G271" s="178" t="s">
        <v>456</v>
      </c>
      <c r="H271" s="160"/>
      <c r="I271" s="117"/>
      <c r="J271" s="180" t="s">
        <v>154</v>
      </c>
      <c r="K271" s="180"/>
      <c r="L271" s="180" t="s">
        <v>297</v>
      </c>
      <c r="M271" s="181"/>
      <c r="N271" s="160"/>
      <c r="O271" s="160"/>
      <c r="P271" s="160"/>
      <c r="Q271" s="160"/>
      <c r="R271" s="160"/>
      <c r="S271" s="160"/>
      <c r="T271" s="160"/>
      <c r="U271" s="160"/>
      <c r="V271" s="160"/>
      <c r="W271" s="160"/>
      <c r="X271" s="160"/>
    </row>
    <row r="272" spans="1:24" ht="12.75" hidden="1" customHeight="1">
      <c r="A272" s="173">
        <v>300010452</v>
      </c>
      <c r="B272" s="177" t="s">
        <v>828</v>
      </c>
      <c r="C272" s="135" t="str">
        <f t="shared" si="42"/>
        <v>300010452-מערכת שוב אש אפריקה</v>
      </c>
      <c r="D272" s="178">
        <v>45684</v>
      </c>
      <c r="E272" s="114"/>
      <c r="F272" s="178" t="s">
        <v>199</v>
      </c>
      <c r="G272" s="178" t="s">
        <v>456</v>
      </c>
      <c r="H272" s="160"/>
      <c r="I272" s="117"/>
      <c r="J272" s="180" t="s">
        <v>154</v>
      </c>
      <c r="K272" s="180">
        <v>130000</v>
      </c>
      <c r="L272" s="180" t="s">
        <v>297</v>
      </c>
      <c r="M272" s="181" t="s">
        <v>829</v>
      </c>
      <c r="N272" s="160"/>
      <c r="O272" s="160"/>
      <c r="P272" s="160"/>
      <c r="Q272" s="160"/>
      <c r="R272" s="160"/>
      <c r="S272" s="160"/>
      <c r="T272" s="160"/>
      <c r="U272" s="160"/>
      <c r="V272" s="160"/>
      <c r="W272" s="160"/>
      <c r="X272" s="160"/>
    </row>
    <row r="273" spans="1:24" ht="12.75" customHeight="1">
      <c r="A273" s="173">
        <v>300010462</v>
      </c>
      <c r="B273" s="177" t="s">
        <v>830</v>
      </c>
      <c r="C273" s="135" t="str">
        <f t="shared" si="42"/>
        <v>300010462-משכל 2025</v>
      </c>
      <c r="D273" s="178">
        <v>45699</v>
      </c>
      <c r="E273" s="114"/>
      <c r="F273" s="178" t="s">
        <v>188</v>
      </c>
      <c r="G273" s="178" t="s">
        <v>512</v>
      </c>
      <c r="H273" s="160"/>
      <c r="I273" s="117"/>
      <c r="J273" s="180" t="s">
        <v>139</v>
      </c>
      <c r="K273" s="180">
        <v>70000</v>
      </c>
      <c r="L273" s="180" t="s">
        <v>295</v>
      </c>
      <c r="M273" s="181"/>
      <c r="N273" s="160"/>
      <c r="O273" s="160"/>
      <c r="P273" s="160"/>
      <c r="Q273" s="160"/>
      <c r="R273" s="160"/>
      <c r="S273" s="160"/>
      <c r="T273" s="160"/>
      <c r="U273" s="160"/>
      <c r="V273" s="160"/>
      <c r="W273" s="160"/>
      <c r="X273" s="160"/>
    </row>
    <row r="274" spans="1:24" ht="12.75" customHeight="1">
      <c r="A274" s="173">
        <v>300010464</v>
      </c>
      <c r="B274" s="177" t="s">
        <v>831</v>
      </c>
      <c r="C274" s="135" t="str">
        <f t="shared" si="42"/>
        <v>300010464-ספירלה עזריאלי</v>
      </c>
      <c r="D274" s="178">
        <v>45699</v>
      </c>
      <c r="E274" s="114"/>
      <c r="F274" s="178" t="s">
        <v>150</v>
      </c>
      <c r="G274" s="178" t="s">
        <v>776</v>
      </c>
      <c r="H274" s="160"/>
      <c r="I274" s="117"/>
      <c r="J274" s="180" t="s">
        <v>139</v>
      </c>
      <c r="K274" s="180">
        <v>650000</v>
      </c>
      <c r="L274" s="180" t="s">
        <v>295</v>
      </c>
      <c r="M274" s="181" t="s">
        <v>832</v>
      </c>
      <c r="N274" s="160"/>
      <c r="O274" s="160"/>
      <c r="P274" s="160"/>
      <c r="Q274" s="160"/>
      <c r="R274" s="160"/>
      <c r="S274" s="160"/>
      <c r="T274" s="160"/>
      <c r="U274" s="160"/>
      <c r="V274" s="160"/>
      <c r="W274" s="160"/>
      <c r="X274" s="160"/>
    </row>
    <row r="275" spans="1:24" ht="12.75" hidden="1" customHeight="1">
      <c r="A275" s="173">
        <v>300010428</v>
      </c>
      <c r="B275" s="177" t="s">
        <v>833</v>
      </c>
      <c r="C275" s="135" t="str">
        <f t="shared" si="42"/>
        <v>300010428-מכרז חח"י LPR</v>
      </c>
      <c r="D275" s="178">
        <v>45641</v>
      </c>
      <c r="E275" s="114"/>
      <c r="F275" s="179" t="s">
        <v>150</v>
      </c>
      <c r="G275" s="178" t="s">
        <v>834</v>
      </c>
      <c r="H275" s="149"/>
      <c r="I275" s="117"/>
      <c r="J275" s="180" t="s">
        <v>139</v>
      </c>
      <c r="K275" s="180">
        <v>950000</v>
      </c>
      <c r="L275" s="180" t="s">
        <v>297</v>
      </c>
      <c r="M275" s="181" t="s">
        <v>835</v>
      </c>
      <c r="N275" s="160">
        <v>0</v>
      </c>
      <c r="O275" s="160">
        <f>K275-N275</f>
        <v>950000</v>
      </c>
      <c r="P275" s="160" t="s">
        <v>301</v>
      </c>
      <c r="Q275" s="160">
        <f>IF(L275="נתקבלה פנייה",K275,0)</f>
        <v>0</v>
      </c>
      <c r="R275" s="160">
        <f>IF(L275="יצאה הצעת מחיר",K275,0)</f>
        <v>0</v>
      </c>
      <c r="S275" s="160">
        <f>IF(L275="משא ומתן",K275,0)</f>
        <v>0</v>
      </c>
      <c r="T275" s="160">
        <f>IF(L275="ממתין להזמנה",K275,0)</f>
        <v>0</v>
      </c>
      <c r="U275" s="160">
        <f>IF(L275="התקבלה הזמנה",K275,0)</f>
        <v>0</v>
      </c>
      <c r="V275" s="160">
        <f>IF(L275="נפל",K275,0)</f>
        <v>950000</v>
      </c>
      <c r="W275" s="160">
        <f>IF(L275="הסתיים",K275,0)</f>
        <v>0</v>
      </c>
      <c r="X275" s="160">
        <f>IF(L275="הפך להזמנה",(N275-#REF!),0)</f>
        <v>0</v>
      </c>
    </row>
    <row r="276" spans="1:24" ht="12.75" hidden="1" customHeight="1">
      <c r="A276" s="173">
        <v>300010457</v>
      </c>
      <c r="B276" s="177" t="s">
        <v>836</v>
      </c>
      <c r="C276" s="135" t="str">
        <f t="shared" si="42"/>
        <v xml:space="preserve">300010457- שו"ב אש מוזאון הכנסת </v>
      </c>
      <c r="D276" s="178">
        <v>45684</v>
      </c>
      <c r="E276" s="114"/>
      <c r="F276" s="178" t="s">
        <v>199</v>
      </c>
      <c r="G276" s="178" t="s">
        <v>456</v>
      </c>
      <c r="H276" s="160"/>
      <c r="I276" s="117"/>
      <c r="J276" s="180" t="s">
        <v>154</v>
      </c>
      <c r="K276" s="180">
        <v>15000</v>
      </c>
      <c r="L276" s="180" t="s">
        <v>151</v>
      </c>
      <c r="M276" s="181"/>
      <c r="N276" s="160"/>
      <c r="O276" s="160"/>
      <c r="P276" s="160"/>
      <c r="Q276" s="160"/>
      <c r="R276" s="160"/>
      <c r="S276" s="160"/>
      <c r="T276" s="160"/>
      <c r="U276" s="160"/>
      <c r="V276" s="160"/>
      <c r="W276" s="160"/>
      <c r="X276" s="160"/>
    </row>
    <row r="277" spans="1:24" ht="12.75" customHeight="1">
      <c r="A277" s="173">
        <v>300010466</v>
      </c>
      <c r="B277" s="177" t="s">
        <v>837</v>
      </c>
      <c r="C277" s="135" t="str">
        <f t="shared" si="42"/>
        <v>300010466-שטראוס שוב אש</v>
      </c>
      <c r="D277" s="178">
        <v>45708</v>
      </c>
      <c r="E277" s="114"/>
      <c r="F277" s="178" t="s">
        <v>199</v>
      </c>
      <c r="G277" s="178" t="s">
        <v>456</v>
      </c>
      <c r="H277" s="160"/>
      <c r="I277" s="117"/>
      <c r="J277" s="180" t="s">
        <v>154</v>
      </c>
      <c r="K277" s="180">
        <v>50000</v>
      </c>
      <c r="L277" s="180" t="s">
        <v>294</v>
      </c>
      <c r="M277" s="181"/>
      <c r="N277" s="160"/>
      <c r="O277" s="160"/>
      <c r="P277" s="160"/>
      <c r="Q277" s="160"/>
      <c r="R277" s="160"/>
      <c r="S277" s="160"/>
      <c r="T277" s="160"/>
      <c r="U277" s="160"/>
      <c r="V277" s="160"/>
      <c r="W277" s="160"/>
      <c r="X277" s="160"/>
    </row>
    <row r="278" spans="1:24" ht="12.75" hidden="1" customHeight="1">
      <c r="A278" s="173">
        <v>300010460</v>
      </c>
      <c r="B278" s="177" t="s">
        <v>181</v>
      </c>
      <c r="C278" s="135" t="str">
        <f t="shared" si="42"/>
        <v>300010460-רכבת ישראל BMS הרחבה</v>
      </c>
      <c r="D278" s="178">
        <v>45691</v>
      </c>
      <c r="E278" s="114"/>
      <c r="F278" s="178" t="s">
        <v>107</v>
      </c>
      <c r="G278" s="178" t="s">
        <v>838</v>
      </c>
      <c r="H278" s="160"/>
      <c r="I278" s="117"/>
      <c r="J278" s="180" t="s">
        <v>102</v>
      </c>
      <c r="K278" s="180">
        <f>170000*25</f>
        <v>4250000</v>
      </c>
      <c r="L278" s="180" t="s">
        <v>151</v>
      </c>
      <c r="M278" s="181"/>
      <c r="N278" s="160"/>
      <c r="O278" s="160"/>
      <c r="P278" s="160"/>
      <c r="Q278" s="160"/>
      <c r="R278" s="160"/>
      <c r="S278" s="160"/>
      <c r="T278" s="160"/>
      <c r="U278" s="160"/>
      <c r="V278" s="160"/>
      <c r="W278" s="160"/>
      <c r="X278" s="160"/>
    </row>
    <row r="279" spans="1:24" ht="12.75" hidden="1" customHeight="1">
      <c r="A279" s="173">
        <v>300010459</v>
      </c>
      <c r="B279" s="177" t="s">
        <v>839</v>
      </c>
      <c r="C279" s="135" t="str">
        <f t="shared" si="42"/>
        <v xml:space="preserve">300010459-בית הכרם </v>
      </c>
      <c r="D279" s="178">
        <v>45690</v>
      </c>
      <c r="E279" s="114"/>
      <c r="F279" s="178" t="s">
        <v>124</v>
      </c>
      <c r="G279" s="178" t="s">
        <v>840</v>
      </c>
      <c r="H279" s="160"/>
      <c r="I279" s="117"/>
      <c r="J279" s="180" t="s">
        <v>102</v>
      </c>
      <c r="K279" s="180">
        <v>170000</v>
      </c>
      <c r="L279" s="180" t="s">
        <v>297</v>
      </c>
      <c r="M279" s="181"/>
      <c r="N279" s="160"/>
      <c r="O279" s="160"/>
      <c r="P279" s="160"/>
      <c r="Q279" s="160"/>
      <c r="R279" s="160"/>
      <c r="S279" s="160"/>
      <c r="T279" s="160"/>
      <c r="U279" s="160"/>
      <c r="V279" s="160"/>
      <c r="W279" s="160"/>
      <c r="X279" s="160"/>
    </row>
    <row r="280" spans="1:24" ht="12.75" hidden="1" customHeight="1">
      <c r="A280" s="173">
        <v>300010461</v>
      </c>
      <c r="B280" s="177" t="s">
        <v>841</v>
      </c>
      <c r="C280" s="135" t="str">
        <f t="shared" si="42"/>
        <v xml:space="preserve">300010461-בלינסון G1 תוספת דלתות </v>
      </c>
      <c r="D280" s="178">
        <v>45697</v>
      </c>
      <c r="E280" s="114" t="s">
        <v>107</v>
      </c>
      <c r="F280" s="178" t="s">
        <v>266</v>
      </c>
      <c r="G280" s="178" t="s">
        <v>842</v>
      </c>
      <c r="H280" s="160"/>
      <c r="I280" s="117"/>
      <c r="J280" s="180" t="s">
        <v>139</v>
      </c>
      <c r="K280" s="180">
        <v>10800</v>
      </c>
      <c r="L280" s="180" t="s">
        <v>151</v>
      </c>
      <c r="M280" s="181"/>
      <c r="N280" s="160"/>
      <c r="O280" s="160"/>
      <c r="P280" s="160"/>
      <c r="Q280" s="160"/>
      <c r="R280" s="160"/>
      <c r="S280" s="160"/>
      <c r="T280" s="160"/>
      <c r="U280" s="160"/>
      <c r="V280" s="160"/>
      <c r="W280" s="160"/>
      <c r="X280" s="160"/>
    </row>
    <row r="281" spans="1:24" ht="12.75" customHeight="1">
      <c r="A281" s="173">
        <v>300010467</v>
      </c>
      <c r="B281" s="177" t="s">
        <v>843</v>
      </c>
      <c r="C281" s="135" t="str">
        <f t="shared" si="42"/>
        <v>300010467-בית חולים בבית שמש</v>
      </c>
      <c r="D281" s="178">
        <v>45926</v>
      </c>
      <c r="E281" s="114"/>
      <c r="F281" s="178" t="s">
        <v>609</v>
      </c>
      <c r="G281" s="178" t="s">
        <v>610</v>
      </c>
      <c r="H281" s="160"/>
      <c r="I281" s="117"/>
      <c r="J281" s="180" t="s">
        <v>139</v>
      </c>
      <c r="K281" s="180"/>
      <c r="L281" s="180" t="s">
        <v>294</v>
      </c>
      <c r="M281" s="181"/>
      <c r="N281" s="160"/>
      <c r="O281" s="160"/>
      <c r="P281" s="160"/>
      <c r="Q281" s="160"/>
      <c r="R281" s="160"/>
      <c r="S281" s="160"/>
      <c r="T281" s="160"/>
      <c r="U281" s="160"/>
      <c r="V281" s="160"/>
      <c r="W281" s="160"/>
      <c r="X281" s="160"/>
    </row>
    <row r="282" spans="1:24" ht="12.75" customHeight="1">
      <c r="A282" s="270">
        <v>300010470</v>
      </c>
      <c r="B282" s="177" t="s">
        <v>844</v>
      </c>
      <c r="C282" s="135" t="str">
        <f t="shared" si="42"/>
        <v xml:space="preserve">300010470-קריה </v>
      </c>
      <c r="D282" s="178">
        <v>45718</v>
      </c>
      <c r="E282" s="114"/>
      <c r="F282" s="178" t="s">
        <v>150</v>
      </c>
      <c r="G282" s="178" t="s">
        <v>845</v>
      </c>
      <c r="H282" s="160"/>
      <c r="I282" s="117"/>
      <c r="J282" s="180" t="s">
        <v>139</v>
      </c>
      <c r="K282" s="180">
        <v>150000</v>
      </c>
      <c r="L282" s="180" t="s">
        <v>295</v>
      </c>
      <c r="M282" s="181"/>
      <c r="N282" s="160"/>
      <c r="O282" s="160"/>
      <c r="P282" s="160"/>
      <c r="Q282" s="160"/>
      <c r="R282" s="160"/>
      <c r="S282" s="160"/>
      <c r="T282" s="160"/>
      <c r="U282" s="160"/>
      <c r="V282" s="160"/>
      <c r="W282" s="160"/>
      <c r="X282" s="160"/>
    </row>
    <row r="283" spans="1:24" ht="12.75" hidden="1" customHeight="1">
      <c r="A283" s="173">
        <v>300010463</v>
      </c>
      <c r="B283" s="177" t="s">
        <v>846</v>
      </c>
      <c r="C283" s="135" t="str">
        <f t="shared" ref="C283:C284" si="43">A283&amp;"-"&amp;B283</f>
        <v>300010463-חוות תל נוף</v>
      </c>
      <c r="D283" s="178">
        <v>45699</v>
      </c>
      <c r="E283" s="114"/>
      <c r="F283" s="178" t="s">
        <v>524</v>
      </c>
      <c r="G283" s="178" t="s">
        <v>546</v>
      </c>
      <c r="H283" s="160"/>
      <c r="I283" s="117"/>
      <c r="J283" s="180" t="s">
        <v>139</v>
      </c>
      <c r="K283" s="180">
        <v>20000</v>
      </c>
      <c r="L283" s="180" t="s">
        <v>297</v>
      </c>
      <c r="M283" s="181"/>
      <c r="N283" s="160"/>
      <c r="O283" s="160"/>
      <c r="P283" s="160"/>
      <c r="Q283" s="160"/>
      <c r="R283" s="160"/>
      <c r="S283" s="160"/>
      <c r="T283" s="160"/>
      <c r="U283" s="160"/>
      <c r="V283" s="160"/>
      <c r="W283" s="160"/>
      <c r="X283" s="160"/>
    </row>
    <row r="284" spans="1:24" ht="12.75" hidden="1" customHeight="1">
      <c r="A284" s="173">
        <v>300010465</v>
      </c>
      <c r="B284" s="177" t="s">
        <v>847</v>
      </c>
      <c r="C284" s="135" t="str">
        <f t="shared" si="43"/>
        <v>300010465-שדרוג שוב אש אוני בעברית</v>
      </c>
      <c r="D284" s="178">
        <v>45708</v>
      </c>
      <c r="E284" s="114"/>
      <c r="F284" s="178" t="s">
        <v>207</v>
      </c>
      <c r="G284" s="178" t="s">
        <v>338</v>
      </c>
      <c r="H284" s="160"/>
      <c r="I284" s="117"/>
      <c r="J284" s="180" t="s">
        <v>154</v>
      </c>
      <c r="K284" s="180">
        <v>80000</v>
      </c>
      <c r="L284" s="180" t="s">
        <v>151</v>
      </c>
      <c r="M284" s="181"/>
      <c r="N284" s="160"/>
      <c r="O284" s="160"/>
      <c r="P284" s="160"/>
      <c r="Q284" s="160"/>
      <c r="R284" s="160"/>
      <c r="S284" s="160"/>
      <c r="T284" s="160"/>
      <c r="U284" s="160"/>
      <c r="V284" s="160"/>
      <c r="W284" s="160"/>
      <c r="X284" s="160"/>
    </row>
    <row r="285" spans="1:24" ht="12.75" customHeight="1">
      <c r="A285" s="341">
        <v>300010471</v>
      </c>
      <c r="B285" s="342" t="s">
        <v>848</v>
      </c>
      <c r="C285" s="329" t="s">
        <v>849</v>
      </c>
      <c r="D285" s="344">
        <v>45718</v>
      </c>
      <c r="E285" s="114" t="s">
        <v>107</v>
      </c>
      <c r="F285" s="344" t="s">
        <v>509</v>
      </c>
      <c r="G285" s="346" t="s">
        <v>102</v>
      </c>
      <c r="H285" s="160"/>
      <c r="I285" s="110" t="s">
        <v>294</v>
      </c>
      <c r="J285" s="346" t="s">
        <v>102</v>
      </c>
      <c r="K285" s="346">
        <f>250000+280000</f>
        <v>530000</v>
      </c>
      <c r="L285" s="346" t="s">
        <v>225</v>
      </c>
      <c r="M285" s="350" t="s">
        <v>850</v>
      </c>
      <c r="N285" s="160"/>
      <c r="O285" s="160"/>
      <c r="P285" s="160"/>
      <c r="Q285" s="160"/>
      <c r="R285" s="160"/>
      <c r="S285" s="160"/>
      <c r="T285" s="160"/>
      <c r="U285" s="160"/>
      <c r="V285" s="160"/>
      <c r="W285" s="160"/>
      <c r="X285" s="160"/>
    </row>
    <row r="286" spans="1:24" ht="12.75" hidden="1" customHeight="1">
      <c r="A286" s="173">
        <v>300010449</v>
      </c>
      <c r="B286" s="177" t="s">
        <v>851</v>
      </c>
      <c r="C286" s="135" t="str">
        <f t="shared" ref="C286:C317" si="44">A286&amp;"-"&amp;B286</f>
        <v>300010449-ממשק למערכת גילוי אש</v>
      </c>
      <c r="D286" s="178">
        <v>45679</v>
      </c>
      <c r="E286" s="114"/>
      <c r="F286" s="178" t="s">
        <v>107</v>
      </c>
      <c r="G286" s="178" t="s">
        <v>852</v>
      </c>
      <c r="H286" s="160"/>
      <c r="I286" s="117"/>
      <c r="J286" s="180" t="s">
        <v>303</v>
      </c>
      <c r="K286" s="180">
        <v>30000</v>
      </c>
      <c r="L286" s="180" t="s">
        <v>297</v>
      </c>
      <c r="M286" s="181" t="s">
        <v>853</v>
      </c>
      <c r="N286" s="160"/>
      <c r="O286" s="160"/>
      <c r="P286" s="160"/>
      <c r="Q286" s="160"/>
      <c r="R286" s="160"/>
      <c r="S286" s="160"/>
      <c r="T286" s="160"/>
      <c r="U286" s="160"/>
      <c r="V286" s="160"/>
      <c r="W286" s="160"/>
      <c r="X286" s="160"/>
    </row>
    <row r="287" spans="1:24" ht="12.75" customHeight="1">
      <c r="A287" s="173">
        <v>300010473</v>
      </c>
      <c r="B287" s="177" t="s">
        <v>854</v>
      </c>
      <c r="C287" s="135" t="str">
        <f t="shared" si="44"/>
        <v>300010473-איכילוב בניין צפוני</v>
      </c>
      <c r="D287" s="178">
        <v>45718</v>
      </c>
      <c r="E287" s="114"/>
      <c r="F287" s="179" t="s">
        <v>112</v>
      </c>
      <c r="G287" s="178" t="s">
        <v>321</v>
      </c>
      <c r="H287" s="149"/>
      <c r="I287" s="117"/>
      <c r="J287" s="180" t="s">
        <v>139</v>
      </c>
      <c r="K287" s="180">
        <v>250000</v>
      </c>
      <c r="L287" s="180" t="s">
        <v>295</v>
      </c>
      <c r="M287" s="181"/>
      <c r="N287" s="149"/>
      <c r="O287" s="149"/>
      <c r="P287" s="149"/>
      <c r="Q287" s="149"/>
      <c r="R287" s="149"/>
      <c r="S287" s="149"/>
      <c r="T287" s="149"/>
      <c r="U287" s="149"/>
      <c r="V287" s="149"/>
      <c r="W287" s="160"/>
      <c r="X287" s="160"/>
    </row>
    <row r="288" spans="1:24" ht="12.75" hidden="1" customHeight="1">
      <c r="A288" s="173">
        <v>300010468</v>
      </c>
      <c r="B288" s="177" t="s">
        <v>855</v>
      </c>
      <c r="C288" s="135" t="str">
        <f t="shared" si="44"/>
        <v>300010468-מוקד ערוני באר שבע</v>
      </c>
      <c r="D288" s="178">
        <v>45711</v>
      </c>
      <c r="E288" s="114"/>
      <c r="F288" s="178" t="s">
        <v>188</v>
      </c>
      <c r="G288" s="178" t="s">
        <v>512</v>
      </c>
      <c r="H288" s="160"/>
      <c r="I288" s="117"/>
      <c r="J288" s="180" t="s">
        <v>139</v>
      </c>
      <c r="K288" s="180">
        <v>850000</v>
      </c>
      <c r="L288" s="180" t="s">
        <v>297</v>
      </c>
      <c r="M288" s="181" t="s">
        <v>856</v>
      </c>
      <c r="N288" s="160"/>
      <c r="O288" s="160"/>
      <c r="P288" s="160"/>
      <c r="Q288" s="160"/>
      <c r="R288" s="160"/>
      <c r="S288" s="160"/>
      <c r="T288" s="160"/>
      <c r="U288" s="160"/>
      <c r="V288" s="160"/>
      <c r="W288" s="160"/>
      <c r="X288" s="160"/>
    </row>
    <row r="289" spans="1:24" ht="12.75" hidden="1" customHeight="1">
      <c r="A289" s="173">
        <v>300010469</v>
      </c>
      <c r="B289" s="177" t="s">
        <v>857</v>
      </c>
      <c r="C289" s="135" t="str">
        <f t="shared" si="44"/>
        <v>300010469-ברינקס בני ברק BMS</v>
      </c>
      <c r="D289" s="178">
        <v>45718</v>
      </c>
      <c r="E289" s="114"/>
      <c r="F289" s="178" t="s">
        <v>107</v>
      </c>
      <c r="G289" s="178" t="s">
        <v>858</v>
      </c>
      <c r="H289" s="160"/>
      <c r="I289" s="117"/>
      <c r="J289" s="180" t="s">
        <v>108</v>
      </c>
      <c r="K289" s="180">
        <v>190000</v>
      </c>
      <c r="L289" s="180" t="s">
        <v>297</v>
      </c>
      <c r="M289" s="181" t="s">
        <v>859</v>
      </c>
      <c r="N289" s="160"/>
      <c r="O289" s="160"/>
      <c r="P289" s="160"/>
      <c r="Q289" s="160"/>
      <c r="R289" s="160"/>
      <c r="S289" s="160"/>
      <c r="T289" s="160"/>
      <c r="U289" s="160"/>
      <c r="V289" s="160"/>
      <c r="W289" s="160"/>
      <c r="X289" s="160"/>
    </row>
    <row r="290" spans="1:24" ht="12.75" customHeight="1">
      <c r="A290" s="173">
        <v>300010474</v>
      </c>
      <c r="B290" s="177" t="s">
        <v>860</v>
      </c>
      <c r="C290" s="135" t="str">
        <f t="shared" si="44"/>
        <v>300010474-מכרז הנגב והגליל</v>
      </c>
      <c r="D290" s="178">
        <v>45718</v>
      </c>
      <c r="E290" s="114"/>
      <c r="F290" s="179" t="s">
        <v>150</v>
      </c>
      <c r="G290" s="178" t="s">
        <v>861</v>
      </c>
      <c r="H290" s="149"/>
      <c r="I290" s="117"/>
      <c r="J290" s="180" t="s">
        <v>139</v>
      </c>
      <c r="K290" s="180">
        <v>60000</v>
      </c>
      <c r="L290" s="180" t="s">
        <v>295</v>
      </c>
      <c r="M290" s="181"/>
      <c r="N290" s="149"/>
      <c r="O290" s="149"/>
      <c r="P290" s="149"/>
      <c r="Q290" s="149"/>
      <c r="R290" s="149"/>
      <c r="S290" s="149"/>
      <c r="T290" s="149"/>
      <c r="U290" s="149"/>
      <c r="V290" s="149"/>
      <c r="W290" s="160"/>
      <c r="X290" s="160"/>
    </row>
    <row r="291" spans="1:24" ht="13.15" customHeight="1">
      <c r="A291" s="173">
        <v>300010475</v>
      </c>
      <c r="B291" s="177" t="s">
        <v>862</v>
      </c>
      <c r="C291" s="135" t="str">
        <f t="shared" si="44"/>
        <v xml:space="preserve">300010475-המנופים 1 </v>
      </c>
      <c r="D291" s="178">
        <v>45719</v>
      </c>
      <c r="E291" s="178"/>
      <c r="F291" s="179" t="s">
        <v>150</v>
      </c>
      <c r="G291" s="178" t="s">
        <v>776</v>
      </c>
      <c r="H291" s="316"/>
      <c r="I291" s="317"/>
      <c r="J291" s="180" t="s">
        <v>139</v>
      </c>
      <c r="K291" s="180">
        <v>60000</v>
      </c>
      <c r="L291" s="180" t="s">
        <v>295</v>
      </c>
      <c r="M291" s="181"/>
      <c r="N291" s="149"/>
      <c r="O291" s="149"/>
      <c r="P291" s="149"/>
      <c r="Q291" s="149"/>
      <c r="R291" s="149"/>
      <c r="S291" s="149"/>
      <c r="T291" s="149"/>
      <c r="U291" s="149"/>
      <c r="V291" s="149"/>
      <c r="W291" s="160"/>
      <c r="X291" s="160"/>
    </row>
    <row r="292" spans="1:24" ht="12.75" hidden="1" customHeight="1">
      <c r="A292" s="173">
        <v>300010435</v>
      </c>
      <c r="B292" s="177" t="s">
        <v>863</v>
      </c>
      <c r="C292" s="135" t="str">
        <f t="shared" si="44"/>
        <v>300010435-איגוד ערים - יו"ש</v>
      </c>
      <c r="D292" s="178">
        <v>45669</v>
      </c>
      <c r="E292" s="114"/>
      <c r="F292" s="179" t="s">
        <v>536</v>
      </c>
      <c r="G292" s="178" t="s">
        <v>864</v>
      </c>
      <c r="H292" s="149"/>
      <c r="I292" s="117"/>
      <c r="J292" s="180" t="s">
        <v>139</v>
      </c>
      <c r="K292" s="180">
        <v>95000</v>
      </c>
      <c r="L292" s="180" t="s">
        <v>297</v>
      </c>
      <c r="M292" s="181"/>
      <c r="N292" s="160">
        <v>0</v>
      </c>
      <c r="O292" s="160">
        <f>K292-N292</f>
        <v>95000</v>
      </c>
      <c r="P292" s="160" t="s">
        <v>301</v>
      </c>
      <c r="Q292" s="160">
        <f>IF(L292="נתקבלה פנייה",K292,0)</f>
        <v>0</v>
      </c>
      <c r="R292" s="160">
        <f>IF(L292="יצאה הצעת מחיר",K292,0)</f>
        <v>0</v>
      </c>
      <c r="S292" s="160">
        <f>IF(L292="משא ומתן",K292,0)</f>
        <v>0</v>
      </c>
      <c r="T292" s="160">
        <f>IF(L292="ממתין להזמנה",K292,0)</f>
        <v>0</v>
      </c>
      <c r="U292" s="160">
        <f>IF(L292="התקבלה הזמנה",K292,0)</f>
        <v>0</v>
      </c>
      <c r="V292" s="160">
        <f>IF(L292="נפל",K292,0)</f>
        <v>95000</v>
      </c>
      <c r="W292" s="160">
        <f>IF(L292="הסתיים",K292,0)</f>
        <v>0</v>
      </c>
      <c r="X292" s="160">
        <f>IF(L292="הפך להזמנה",(N292-#REF!),0)</f>
        <v>0</v>
      </c>
    </row>
    <row r="293" spans="1:24" ht="12.75" hidden="1" customHeight="1">
      <c r="A293" s="173">
        <v>300010439</v>
      </c>
      <c r="B293" s="177" t="s">
        <v>343</v>
      </c>
      <c r="C293" s="135" t="str">
        <f t="shared" si="44"/>
        <v>300010439-מתחם בליליוס ירושלים</v>
      </c>
      <c r="D293" s="178">
        <v>45672</v>
      </c>
      <c r="E293" s="114"/>
      <c r="F293" s="179" t="s">
        <v>101</v>
      </c>
      <c r="G293" s="178" t="s">
        <v>392</v>
      </c>
      <c r="I293" s="117"/>
      <c r="J293" s="180" t="s">
        <v>102</v>
      </c>
      <c r="K293" s="180">
        <v>950000</v>
      </c>
      <c r="L293" s="180" t="s">
        <v>297</v>
      </c>
      <c r="M293" s="181"/>
      <c r="N293" s="308">
        <v>0</v>
      </c>
      <c r="O293" s="308">
        <f>K293-N293</f>
        <v>950000</v>
      </c>
      <c r="P293" s="308" t="s">
        <v>301</v>
      </c>
      <c r="Q293" s="308">
        <f>IF(L293="נתקבלה פנייה",K293,0)</f>
        <v>0</v>
      </c>
      <c r="R293" s="308">
        <f>IF(L293="יצאה הצעת מחיר",K293,0)</f>
        <v>0</v>
      </c>
      <c r="S293" s="308">
        <f>IF(L293="משא ומתן",K293,0)</f>
        <v>0</v>
      </c>
      <c r="T293" s="308">
        <f>IF(L293="ממתין להזמנה",K293,0)</f>
        <v>0</v>
      </c>
      <c r="U293" s="308">
        <f>IF(L293="התקבלה הזמנה",K293,0)</f>
        <v>0</v>
      </c>
      <c r="V293" s="308">
        <f>IF(L293="נפל",K293,0)</f>
        <v>950000</v>
      </c>
      <c r="W293" s="160">
        <f>IF(L293="הסתיים",K293,0)</f>
        <v>0</v>
      </c>
      <c r="X293" s="160">
        <f>IF(L293="הפך להזמנה",(N293-#REF!),0)</f>
        <v>0</v>
      </c>
    </row>
    <row r="294" spans="1:24" ht="12.75" hidden="1" customHeight="1">
      <c r="A294" s="173">
        <v>300010450</v>
      </c>
      <c r="B294" s="177" t="s">
        <v>865</v>
      </c>
      <c r="C294" s="135" t="str">
        <f t="shared" si="44"/>
        <v>300010450-אוניברסיטת בר אילן שוב</v>
      </c>
      <c r="D294" s="178">
        <v>45680</v>
      </c>
      <c r="E294" s="114"/>
      <c r="F294" s="178" t="s">
        <v>506</v>
      </c>
      <c r="G294" s="178" t="s">
        <v>507</v>
      </c>
      <c r="H294" s="308"/>
      <c r="I294" s="117"/>
      <c r="J294" s="180" t="s">
        <v>139</v>
      </c>
      <c r="K294" s="180"/>
      <c r="L294" s="180" t="s">
        <v>297</v>
      </c>
      <c r="M294" s="181"/>
      <c r="N294" s="308"/>
      <c r="O294" s="308"/>
      <c r="P294" s="308"/>
      <c r="Q294" s="308"/>
      <c r="R294" s="308"/>
      <c r="S294" s="308"/>
      <c r="T294" s="308"/>
      <c r="U294" s="308"/>
      <c r="V294" s="308"/>
      <c r="W294" s="160"/>
      <c r="X294" s="160"/>
    </row>
    <row r="295" spans="1:24" ht="12.75" hidden="1" customHeight="1">
      <c r="A295" s="173">
        <v>300010476</v>
      </c>
      <c r="B295" s="177" t="s">
        <v>866</v>
      </c>
      <c r="C295" s="135" t="str">
        <f t="shared" si="44"/>
        <v>300010476-חישולי הכרמל</v>
      </c>
      <c r="D295" s="178">
        <v>45727</v>
      </c>
      <c r="E295" s="114"/>
      <c r="F295" s="179" t="s">
        <v>207</v>
      </c>
      <c r="G295" s="178" t="s">
        <v>338</v>
      </c>
      <c r="I295" s="117"/>
      <c r="J295" s="180" t="s">
        <v>154</v>
      </c>
      <c r="K295" s="180">
        <v>50000</v>
      </c>
      <c r="L295" s="180" t="s">
        <v>151</v>
      </c>
      <c r="M295" s="181"/>
      <c r="W295" s="160"/>
      <c r="X295" s="160"/>
    </row>
    <row r="296" spans="1:24" ht="12.75" customHeight="1">
      <c r="A296" s="173">
        <v>300010481</v>
      </c>
      <c r="B296" s="177" t="s">
        <v>867</v>
      </c>
      <c r="C296" s="135" t="str">
        <f t="shared" si="44"/>
        <v>300010481-מרלוג קסריה</v>
      </c>
      <c r="D296" s="178">
        <v>45735</v>
      </c>
      <c r="E296" s="114"/>
      <c r="F296" s="179" t="s">
        <v>107</v>
      </c>
      <c r="G296" s="178" t="s">
        <v>868</v>
      </c>
      <c r="I296" s="117"/>
      <c r="J296" s="180" t="s">
        <v>139</v>
      </c>
      <c r="K296" s="180">
        <v>63056</v>
      </c>
      <c r="L296" s="180" t="s">
        <v>295</v>
      </c>
      <c r="M296" s="181"/>
      <c r="W296" s="160"/>
      <c r="X296" s="160"/>
    </row>
    <row r="297" spans="1:24" ht="12.75" hidden="1" customHeight="1">
      <c r="A297" s="173">
        <v>300010477</v>
      </c>
      <c r="B297" s="177" t="s">
        <v>869</v>
      </c>
      <c r="C297" s="135" t="str">
        <f t="shared" si="44"/>
        <v>300010477-פרויקט X רומניה</v>
      </c>
      <c r="D297" s="178">
        <v>45729</v>
      </c>
      <c r="E297" s="114"/>
      <c r="F297" s="179" t="s">
        <v>107</v>
      </c>
      <c r="G297" s="178" t="s">
        <v>870</v>
      </c>
      <c r="I297" s="117"/>
      <c r="J297" s="180" t="s">
        <v>139</v>
      </c>
      <c r="K297" s="180">
        <v>450000</v>
      </c>
      <c r="L297" s="180" t="s">
        <v>297</v>
      </c>
      <c r="M297" s="181"/>
      <c r="W297" s="160"/>
      <c r="X297" s="160"/>
    </row>
    <row r="298" spans="1:24" ht="12.75" customHeight="1">
      <c r="A298" s="173">
        <v>300010484</v>
      </c>
      <c r="B298" s="177" t="s">
        <v>871</v>
      </c>
      <c r="C298" s="135" t="str">
        <f t="shared" si="44"/>
        <v xml:space="preserve">300010484-גריאטרי בבני ברק </v>
      </c>
      <c r="D298" s="178">
        <v>45743</v>
      </c>
      <c r="E298" s="114"/>
      <c r="F298" s="179" t="s">
        <v>101</v>
      </c>
      <c r="G298" s="178" t="s">
        <v>392</v>
      </c>
      <c r="I298" s="117"/>
      <c r="J298" s="180" t="s">
        <v>154</v>
      </c>
      <c r="K298" s="180">
        <v>96000</v>
      </c>
      <c r="L298" s="180" t="s">
        <v>295</v>
      </c>
      <c r="M298" s="181"/>
      <c r="W298" s="160"/>
      <c r="X298" s="160"/>
    </row>
    <row r="299" spans="1:24" ht="12.75" hidden="1" customHeight="1">
      <c r="A299" s="173">
        <v>300010458</v>
      </c>
      <c r="B299" s="177" t="s">
        <v>872</v>
      </c>
      <c r="C299" s="135" t="str">
        <f t="shared" si="44"/>
        <v>300010458-מערכת פריצה ROM</v>
      </c>
      <c r="D299" s="178">
        <v>45685</v>
      </c>
      <c r="E299" s="114"/>
      <c r="F299" s="178" t="s">
        <v>107</v>
      </c>
      <c r="G299" s="178" t="s">
        <v>873</v>
      </c>
      <c r="H299" s="308"/>
      <c r="I299" s="117"/>
      <c r="J299" s="180" t="s">
        <v>139</v>
      </c>
      <c r="K299" s="180">
        <v>55000</v>
      </c>
      <c r="L299" s="180" t="s">
        <v>297</v>
      </c>
      <c r="M299" s="181"/>
      <c r="N299" s="308"/>
      <c r="O299" s="308"/>
      <c r="P299" s="308"/>
      <c r="Q299" s="308"/>
      <c r="R299" s="308"/>
      <c r="S299" s="308"/>
      <c r="T299" s="308"/>
      <c r="U299" s="308"/>
      <c r="V299" s="308"/>
      <c r="W299" s="160"/>
      <c r="X299" s="160"/>
    </row>
    <row r="300" spans="1:24" ht="12.75" hidden="1" customHeight="1">
      <c r="A300" s="173">
        <v>300010480</v>
      </c>
      <c r="B300" s="177" t="s">
        <v>874</v>
      </c>
      <c r="C300" s="135" t="str">
        <f t="shared" si="44"/>
        <v>300010480-המשביר 1, חולון</v>
      </c>
      <c r="D300" s="178">
        <v>45729</v>
      </c>
      <c r="E300" s="114"/>
      <c r="F300" s="179" t="s">
        <v>196</v>
      </c>
      <c r="G300" s="178" t="s">
        <v>332</v>
      </c>
      <c r="I300" s="117"/>
      <c r="J300" s="180" t="s">
        <v>102</v>
      </c>
      <c r="K300" s="180">
        <v>370000</v>
      </c>
      <c r="L300" s="180" t="s">
        <v>297</v>
      </c>
      <c r="M300" s="181"/>
      <c r="W300" s="160"/>
      <c r="X300" s="160"/>
    </row>
    <row r="301" spans="1:24" ht="12.75" customHeight="1">
      <c r="A301" s="173">
        <v>300010486</v>
      </c>
      <c r="B301" s="177" t="s">
        <v>236</v>
      </c>
      <c r="C301" s="135" t="str">
        <f t="shared" si="44"/>
        <v>300010486-מרלוג לסר</v>
      </c>
      <c r="D301" s="178">
        <v>45747</v>
      </c>
      <c r="E301" s="114"/>
      <c r="F301" s="179" t="s">
        <v>185</v>
      </c>
      <c r="G301" s="178" t="s">
        <v>405</v>
      </c>
      <c r="I301" s="117"/>
      <c r="J301" s="180" t="s">
        <v>139</v>
      </c>
      <c r="K301" s="180">
        <v>44500</v>
      </c>
      <c r="L301" s="180" t="s">
        <v>151</v>
      </c>
      <c r="M301" s="181" t="s">
        <v>875</v>
      </c>
      <c r="W301" s="160"/>
      <c r="X301" s="160"/>
    </row>
    <row r="302" spans="1:24" ht="12.75" hidden="1" customHeight="1">
      <c r="A302" s="173">
        <v>300010472</v>
      </c>
      <c r="B302" s="177" t="s">
        <v>876</v>
      </c>
      <c r="C302" s="135" t="str">
        <f t="shared" si="44"/>
        <v>300010472-300010469-מוקד פאלפון</v>
      </c>
      <c r="D302" s="178">
        <v>45718</v>
      </c>
      <c r="E302" s="114"/>
      <c r="F302" s="178" t="s">
        <v>609</v>
      </c>
      <c r="G302" s="178" t="s">
        <v>634</v>
      </c>
      <c r="H302" s="308"/>
      <c r="I302" s="117"/>
      <c r="J302" s="180" t="s">
        <v>139</v>
      </c>
      <c r="K302" s="180">
        <v>300000</v>
      </c>
      <c r="L302" s="180" t="s">
        <v>297</v>
      </c>
      <c r="M302" s="181"/>
      <c r="N302" s="308"/>
      <c r="O302" s="308"/>
      <c r="P302" s="308"/>
      <c r="Q302" s="308"/>
      <c r="R302" s="308"/>
      <c r="S302" s="308"/>
      <c r="T302" s="308"/>
      <c r="U302" s="308"/>
      <c r="V302" s="308"/>
      <c r="W302" s="160"/>
      <c r="X302" s="160"/>
    </row>
    <row r="303" spans="1:24" ht="12.75" customHeight="1">
      <c r="A303" s="173">
        <v>300010487</v>
      </c>
      <c r="B303" s="177" t="s">
        <v>877</v>
      </c>
      <c r="C303" s="135" t="str">
        <f t="shared" si="44"/>
        <v>300010487-רשות הגירה הרחבה</v>
      </c>
      <c r="D303" s="178">
        <v>45752</v>
      </c>
      <c r="E303" s="114"/>
      <c r="F303" s="179" t="s">
        <v>147</v>
      </c>
      <c r="G303" s="178" t="s">
        <v>334</v>
      </c>
      <c r="I303" s="117"/>
      <c r="J303" s="180" t="s">
        <v>303</v>
      </c>
      <c r="K303" s="180">
        <v>200000</v>
      </c>
      <c r="L303" s="180" t="s">
        <v>295</v>
      </c>
      <c r="M303" s="181"/>
      <c r="W303" s="160"/>
      <c r="X303" s="160"/>
    </row>
    <row r="304" spans="1:24" ht="12.75" customHeight="1">
      <c r="A304" s="173">
        <v>300010488</v>
      </c>
      <c r="B304" s="177" t="s">
        <v>878</v>
      </c>
      <c r="C304" s="135" t="str">
        <f t="shared" si="44"/>
        <v>300010488-מוקד שערי צדק</v>
      </c>
      <c r="D304" s="178">
        <v>45753</v>
      </c>
      <c r="E304" s="114"/>
      <c r="F304" s="179" t="s">
        <v>609</v>
      </c>
      <c r="G304" s="178" t="s">
        <v>634</v>
      </c>
      <c r="I304" s="117"/>
      <c r="J304" s="180" t="s">
        <v>139</v>
      </c>
      <c r="K304" s="180">
        <v>600000</v>
      </c>
      <c r="L304" s="180" t="s">
        <v>295</v>
      </c>
      <c r="M304" s="181"/>
      <c r="W304" s="160"/>
      <c r="X304" s="160"/>
    </row>
    <row r="305" spans="1:25" ht="12.75" hidden="1" customHeight="1">
      <c r="A305" s="173">
        <v>300010489</v>
      </c>
      <c r="B305" s="177" t="s">
        <v>879</v>
      </c>
      <c r="C305" s="135" t="str">
        <f t="shared" si="44"/>
        <v>300010489-שוב אש אפריקה</v>
      </c>
      <c r="D305" s="178">
        <v>45761</v>
      </c>
      <c r="E305" s="114"/>
      <c r="F305" s="179" t="s">
        <v>199</v>
      </c>
      <c r="G305" s="178" t="s">
        <v>456</v>
      </c>
      <c r="I305" s="117"/>
      <c r="J305" s="180" t="s">
        <v>154</v>
      </c>
      <c r="K305" s="180">
        <v>37000</v>
      </c>
      <c r="L305" s="180" t="s">
        <v>151</v>
      </c>
      <c r="M305" s="181"/>
      <c r="W305" s="160"/>
      <c r="X305" s="160"/>
    </row>
    <row r="306" spans="1:25" ht="12.75" customHeight="1">
      <c r="A306" s="173">
        <v>300010490</v>
      </c>
      <c r="B306" s="177" t="s">
        <v>880</v>
      </c>
      <c r="C306" s="135" t="str">
        <f t="shared" si="44"/>
        <v>300010490- קמפוס יוניון מעוין  ראשון לציון</v>
      </c>
      <c r="D306" s="178">
        <v>45761</v>
      </c>
      <c r="E306" s="115" t="s">
        <v>107</v>
      </c>
      <c r="F306" s="179" t="s">
        <v>107</v>
      </c>
      <c r="G306" s="178"/>
      <c r="H306" s="308"/>
      <c r="I306" s="110"/>
      <c r="J306" s="180"/>
      <c r="K306" s="180"/>
      <c r="L306" s="180"/>
      <c r="M306" s="181"/>
      <c r="N306" s="69"/>
      <c r="W306" s="149"/>
      <c r="X306" s="149"/>
    </row>
    <row r="307" spans="1:25" ht="12.75" customHeight="1">
      <c r="A307" s="173">
        <v>300010491</v>
      </c>
      <c r="B307" s="177" t="s">
        <v>881</v>
      </c>
      <c r="C307" s="135" t="str">
        <f t="shared" si="44"/>
        <v>300010491-הראל זימון אורחים</v>
      </c>
      <c r="D307" s="178">
        <v>45771</v>
      </c>
      <c r="E307" s="115"/>
      <c r="F307" s="179" t="s">
        <v>120</v>
      </c>
      <c r="G307" s="178" t="s">
        <v>498</v>
      </c>
      <c r="H307" s="308"/>
      <c r="I307" s="110"/>
      <c r="J307" s="180" t="s">
        <v>139</v>
      </c>
      <c r="K307" s="180">
        <v>100000</v>
      </c>
      <c r="L307" s="180" t="s">
        <v>295</v>
      </c>
      <c r="M307" s="181" t="s">
        <v>882</v>
      </c>
      <c r="N307" s="69"/>
      <c r="W307" s="149"/>
      <c r="X307" s="149"/>
    </row>
    <row r="308" spans="1:25" ht="12.75" customHeight="1">
      <c r="A308" s="173">
        <v>300010496</v>
      </c>
      <c r="B308" s="177" t="s">
        <v>883</v>
      </c>
      <c r="C308" s="135" t="str">
        <f t="shared" si="44"/>
        <v xml:space="preserve">300010496-שוב_מחירון_ממשק מבצר </v>
      </c>
      <c r="D308" s="178">
        <v>45788</v>
      </c>
      <c r="E308" s="115"/>
      <c r="F308" s="179" t="s">
        <v>884</v>
      </c>
      <c r="G308" s="178" t="s">
        <v>885</v>
      </c>
      <c r="H308" s="308"/>
      <c r="I308" s="110"/>
      <c r="J308" s="180" t="s">
        <v>139</v>
      </c>
      <c r="K308" s="180">
        <v>25000</v>
      </c>
      <c r="L308" s="180" t="s">
        <v>295</v>
      </c>
      <c r="M308" s="181"/>
      <c r="N308" s="69"/>
      <c r="W308" s="149"/>
      <c r="X308" s="149"/>
    </row>
    <row r="309" spans="1:25" ht="12.75" hidden="1" customHeight="1">
      <c r="A309" s="173">
        <v>300010478</v>
      </c>
      <c r="B309" s="177" t="s">
        <v>886</v>
      </c>
      <c r="C309" s="135" t="str">
        <f t="shared" si="44"/>
        <v>300010478-דיור מוגן עד 120 נס ציונה</v>
      </c>
      <c r="D309" s="178">
        <v>45729</v>
      </c>
      <c r="E309" s="114"/>
      <c r="F309" s="179" t="s">
        <v>112</v>
      </c>
      <c r="G309" s="178" t="s">
        <v>321</v>
      </c>
      <c r="I309" s="117"/>
      <c r="J309" s="180" t="s">
        <v>139</v>
      </c>
      <c r="K309" s="257">
        <v>400000</v>
      </c>
      <c r="L309" s="257" t="s">
        <v>297</v>
      </c>
      <c r="M309" s="181"/>
      <c r="W309" s="160"/>
      <c r="X309" s="160"/>
    </row>
    <row r="310" spans="1:25" ht="12.75" hidden="1" customHeight="1">
      <c r="A310" s="173">
        <v>300010479</v>
      </c>
      <c r="B310" s="177" t="s">
        <v>887</v>
      </c>
      <c r="C310" s="135" t="str">
        <f t="shared" si="44"/>
        <v xml:space="preserve">300010479-אוליו בת ים </v>
      </c>
      <c r="D310" s="178">
        <v>45729</v>
      </c>
      <c r="E310" s="178"/>
      <c r="F310" s="179" t="s">
        <v>150</v>
      </c>
      <c r="G310" s="178" t="s">
        <v>888</v>
      </c>
      <c r="H310" s="316"/>
      <c r="I310" s="317"/>
      <c r="J310" s="180" t="s">
        <v>139</v>
      </c>
      <c r="K310" s="180">
        <v>70000</v>
      </c>
      <c r="L310" s="257" t="s">
        <v>297</v>
      </c>
      <c r="M310" s="181" t="s">
        <v>889</v>
      </c>
      <c r="N310" s="319"/>
      <c r="W310" s="308"/>
      <c r="X310" s="160"/>
      <c r="Y310" s="149"/>
    </row>
    <row r="311" spans="1:25" ht="12.75" customHeight="1">
      <c r="A311" s="173">
        <v>300010497</v>
      </c>
      <c r="B311" s="177" t="s">
        <v>890</v>
      </c>
      <c r="C311" s="135" t="str">
        <f t="shared" si="44"/>
        <v>300010497-אורשר אשדוד</v>
      </c>
      <c r="D311" s="178">
        <v>45794</v>
      </c>
      <c r="E311" s="256"/>
      <c r="F311" s="179" t="s">
        <v>107</v>
      </c>
      <c r="G311" s="178" t="s">
        <v>891</v>
      </c>
      <c r="H311" s="160"/>
      <c r="I311" s="160"/>
      <c r="J311" s="180" t="s">
        <v>139</v>
      </c>
      <c r="K311" s="180">
        <v>85000</v>
      </c>
      <c r="L311" s="257" t="s">
        <v>295</v>
      </c>
      <c r="M311" s="258"/>
      <c r="N311" s="147"/>
      <c r="X311" s="149"/>
      <c r="Y311" s="149"/>
    </row>
    <row r="312" spans="1:25" ht="12.75" hidden="1" customHeight="1">
      <c r="A312" s="173">
        <v>300010482</v>
      </c>
      <c r="B312" s="177" t="s">
        <v>892</v>
      </c>
      <c r="C312" s="135" t="str">
        <f t="shared" si="44"/>
        <v>300010482-מיגון אתרי חושן</v>
      </c>
      <c r="D312" s="178">
        <v>45741</v>
      </c>
      <c r="E312" s="313"/>
      <c r="F312" s="179" t="s">
        <v>147</v>
      </c>
      <c r="G312" s="178" t="s">
        <v>610</v>
      </c>
      <c r="H312" s="149"/>
      <c r="I312" s="318"/>
      <c r="J312" s="180" t="s">
        <v>139</v>
      </c>
      <c r="K312" s="180">
        <v>350000</v>
      </c>
      <c r="L312" s="257" t="s">
        <v>297</v>
      </c>
      <c r="M312" s="258"/>
      <c r="N312" s="149"/>
      <c r="W312" s="308"/>
      <c r="X312" s="160"/>
      <c r="Y312" s="149"/>
    </row>
    <row r="313" spans="1:25" ht="12.75" hidden="1" customHeight="1">
      <c r="A313" s="173">
        <v>300010493</v>
      </c>
      <c r="B313" s="177" t="s">
        <v>893</v>
      </c>
      <c r="C313" s="135" t="str">
        <f t="shared" si="44"/>
        <v>300010493-מיגון אלפאר</v>
      </c>
      <c r="D313" s="178">
        <v>45772</v>
      </c>
      <c r="E313" s="256"/>
      <c r="F313" s="179" t="s">
        <v>185</v>
      </c>
      <c r="G313" s="178" t="s">
        <v>726</v>
      </c>
      <c r="H313" s="160"/>
      <c r="I313" s="160"/>
      <c r="J313" s="180" t="s">
        <v>139</v>
      </c>
      <c r="K313" s="180">
        <v>50000</v>
      </c>
      <c r="L313" s="257" t="s">
        <v>297</v>
      </c>
      <c r="M313" s="258"/>
      <c r="N313" s="147"/>
      <c r="X313" s="149"/>
      <c r="Y313" s="149"/>
    </row>
    <row r="314" spans="1:25" ht="12.75" hidden="1" customHeight="1">
      <c r="A314" s="173">
        <v>300010494</v>
      </c>
      <c r="B314" s="177" t="s">
        <v>894</v>
      </c>
      <c r="C314" s="135" t="str">
        <f t="shared" si="44"/>
        <v xml:space="preserve">300010494-בית איילון, רג </v>
      </c>
      <c r="D314" s="178">
        <v>45785</v>
      </c>
      <c r="E314" s="256"/>
      <c r="F314" s="179" t="s">
        <v>196</v>
      </c>
      <c r="G314" s="178" t="s">
        <v>310</v>
      </c>
      <c r="H314" s="160"/>
      <c r="I314" s="160"/>
      <c r="J314" s="180" t="s">
        <v>102</v>
      </c>
      <c r="K314" s="180">
        <v>1650000</v>
      </c>
      <c r="L314" s="257" t="s">
        <v>297</v>
      </c>
      <c r="M314" s="258"/>
      <c r="N314" s="147"/>
      <c r="X314" s="149"/>
      <c r="Y314" s="149"/>
    </row>
    <row r="315" spans="1:25" ht="12.75" customHeight="1">
      <c r="A315" s="173">
        <v>300010498</v>
      </c>
      <c r="B315" s="177" t="s">
        <v>895</v>
      </c>
      <c r="C315" s="135" t="str">
        <f t="shared" si="44"/>
        <v>300010498-משרד המשפטים ביטחון</v>
      </c>
      <c r="D315" s="178">
        <v>45794</v>
      </c>
      <c r="E315" s="256"/>
      <c r="F315" s="179" t="s">
        <v>609</v>
      </c>
      <c r="G315" s="178" t="s">
        <v>634</v>
      </c>
      <c r="H315" s="160"/>
      <c r="I315" s="160"/>
      <c r="J315" s="180" t="s">
        <v>139</v>
      </c>
      <c r="K315" s="180">
        <v>50000</v>
      </c>
      <c r="L315" s="257" t="s">
        <v>295</v>
      </c>
      <c r="M315" s="258"/>
      <c r="N315" s="147"/>
      <c r="X315" s="149"/>
      <c r="Y315" s="149"/>
    </row>
    <row r="316" spans="1:25" ht="12.75" hidden="1" customHeight="1">
      <c r="A316" s="173">
        <v>300010485</v>
      </c>
      <c r="B316" s="177" t="s">
        <v>896</v>
      </c>
      <c r="C316" s="135" t="str">
        <f t="shared" si="44"/>
        <v>300010485-גריאטרי בבני ברק ביטחון</v>
      </c>
      <c r="D316" s="178">
        <v>45746</v>
      </c>
      <c r="E316" s="313"/>
      <c r="F316" s="179" t="s">
        <v>150</v>
      </c>
      <c r="G316" s="178" t="s">
        <v>861</v>
      </c>
      <c r="H316" s="149"/>
      <c r="I316" s="318"/>
      <c r="J316" s="180" t="s">
        <v>139</v>
      </c>
      <c r="K316" s="180">
        <v>159000</v>
      </c>
      <c r="L316" s="257" t="s">
        <v>297</v>
      </c>
      <c r="M316" s="258"/>
      <c r="N316" s="149"/>
      <c r="W316" s="308"/>
      <c r="X316" s="160"/>
      <c r="Y316" s="149"/>
    </row>
    <row r="317" spans="1:25" ht="12.75" customHeight="1">
      <c r="A317" s="270">
        <v>300010499</v>
      </c>
      <c r="B317" s="177" t="s">
        <v>897</v>
      </c>
      <c r="C317" s="135" t="str">
        <f t="shared" si="44"/>
        <v>300010499-מכרז AVNET</v>
      </c>
      <c r="D317" s="178">
        <v>45806</v>
      </c>
      <c r="E317" s="256"/>
      <c r="F317" s="179" t="s">
        <v>107</v>
      </c>
      <c r="G317" s="178" t="s">
        <v>898</v>
      </c>
      <c r="H317" s="160"/>
      <c r="I317" s="160"/>
      <c r="J317" s="180" t="s">
        <v>139</v>
      </c>
      <c r="K317" s="180">
        <v>50000</v>
      </c>
      <c r="L317" s="257" t="s">
        <v>295</v>
      </c>
      <c r="M317" s="258" t="s">
        <v>899</v>
      </c>
      <c r="N317" s="147"/>
      <c r="X317" s="149"/>
      <c r="Y317" s="149"/>
    </row>
    <row r="318" spans="1:25" ht="12.75" hidden="1" customHeight="1">
      <c r="A318" s="173">
        <v>300010500</v>
      </c>
      <c r="B318" s="177" t="s">
        <v>900</v>
      </c>
      <c r="C318" s="135" t="str">
        <f t="shared" ref="C318:C349" si="45">A318&amp;"-"&amp;B318</f>
        <v>300010500-ML</v>
      </c>
      <c r="D318" s="178">
        <v>45806</v>
      </c>
      <c r="E318" s="256"/>
      <c r="F318" s="179" t="s">
        <v>185</v>
      </c>
      <c r="G318" s="178" t="s">
        <v>726</v>
      </c>
      <c r="H318" s="160"/>
      <c r="I318" s="160"/>
      <c r="J318" s="180" t="s">
        <v>139</v>
      </c>
      <c r="K318" s="180">
        <v>475000</v>
      </c>
      <c r="L318" s="257" t="s">
        <v>151</v>
      </c>
      <c r="M318" s="258"/>
      <c r="N318" s="147"/>
      <c r="X318" s="149"/>
      <c r="Y318" s="149"/>
    </row>
    <row r="319" spans="1:25" ht="12.75" hidden="1" customHeight="1">
      <c r="A319" s="173">
        <v>300010501</v>
      </c>
      <c r="B319" s="173" t="s">
        <v>901</v>
      </c>
      <c r="C319" s="173" t="str">
        <f t="shared" si="45"/>
        <v>300010501-VOD משרד משרד המשפטים</v>
      </c>
      <c r="D319" s="178">
        <v>45815</v>
      </c>
      <c r="E319" s="178"/>
      <c r="F319" s="178" t="s">
        <v>147</v>
      </c>
      <c r="G319" s="178" t="s">
        <v>334</v>
      </c>
      <c r="H319" s="178"/>
      <c r="I319" s="178"/>
      <c r="J319" s="178" t="s">
        <v>303</v>
      </c>
      <c r="K319" s="178">
        <v>142000</v>
      </c>
      <c r="L319" s="178" t="s">
        <v>151</v>
      </c>
      <c r="M319" s="178"/>
      <c r="N319" s="147"/>
      <c r="X319" s="149"/>
      <c r="Y319" s="149"/>
    </row>
    <row r="320" spans="1:25" ht="12.75" customHeight="1">
      <c r="A320" s="173">
        <v>300010502</v>
      </c>
      <c r="B320" s="177" t="s">
        <v>902</v>
      </c>
      <c r="C320" s="135" t="str">
        <f t="shared" si="45"/>
        <v>300010502-גילוי אש משרד רהמ</v>
      </c>
      <c r="D320" s="178">
        <v>45818</v>
      </c>
      <c r="E320" s="256"/>
      <c r="F320" s="179" t="s">
        <v>199</v>
      </c>
      <c r="G320" s="178" t="s">
        <v>456</v>
      </c>
      <c r="H320" s="160"/>
      <c r="I320" s="160"/>
      <c r="J320" s="180" t="s">
        <v>154</v>
      </c>
      <c r="K320" s="180">
        <v>96000</v>
      </c>
      <c r="L320" s="257" t="s">
        <v>295</v>
      </c>
      <c r="M320" s="258"/>
      <c r="N320" s="147"/>
      <c r="X320" s="149"/>
      <c r="Y320" s="149"/>
    </row>
    <row r="321" spans="1:25" ht="12.75" hidden="1" customHeight="1">
      <c r="A321" s="173">
        <v>300010492</v>
      </c>
      <c r="B321" s="177" t="s">
        <v>903</v>
      </c>
      <c r="C321" s="135" t="str">
        <f t="shared" si="45"/>
        <v>300010492-המנופים 3 הרצליה</v>
      </c>
      <c r="D321" s="178">
        <v>45771</v>
      </c>
      <c r="E321" s="256"/>
      <c r="F321" s="179" t="s">
        <v>107</v>
      </c>
      <c r="G321" s="178" t="s">
        <v>904</v>
      </c>
      <c r="H321" s="160"/>
      <c r="I321" s="160"/>
      <c r="J321" s="180" t="s">
        <v>102</v>
      </c>
      <c r="K321" s="180">
        <v>750000</v>
      </c>
      <c r="L321" s="257" t="s">
        <v>297</v>
      </c>
      <c r="M321" s="258"/>
      <c r="N321" s="147"/>
      <c r="X321" s="149"/>
      <c r="Y321" s="149"/>
    </row>
    <row r="322" spans="1:25" ht="12.75" hidden="1" customHeight="1">
      <c r="A322" s="173">
        <v>300010495</v>
      </c>
      <c r="B322" s="177" t="s">
        <v>905</v>
      </c>
      <c r="C322" s="135" t="str">
        <f t="shared" si="45"/>
        <v>300010495-האוניברסיטה העברית - בנין ננוקוואנטום</v>
      </c>
      <c r="D322" s="178">
        <v>45788</v>
      </c>
      <c r="E322" s="256"/>
      <c r="F322" s="179" t="s">
        <v>101</v>
      </c>
      <c r="G322" s="178" t="s">
        <v>392</v>
      </c>
      <c r="H322" s="160"/>
      <c r="I322" s="160"/>
      <c r="J322" s="180" t="s">
        <v>102</v>
      </c>
      <c r="K322" s="180">
        <v>550000</v>
      </c>
      <c r="L322" s="257" t="s">
        <v>297</v>
      </c>
      <c r="M322" s="258"/>
      <c r="N322" s="147"/>
      <c r="X322" s="149"/>
      <c r="Y322" s="149"/>
    </row>
    <row r="323" spans="1:25" ht="12.75" customHeight="1">
      <c r="A323" s="173">
        <v>300010503</v>
      </c>
      <c r="B323" s="177" t="s">
        <v>906</v>
      </c>
      <c r="C323" s="135" t="str">
        <f t="shared" si="45"/>
        <v>300010503-מערכת לניהול משרד רהמ</v>
      </c>
      <c r="D323" s="178">
        <v>45824</v>
      </c>
      <c r="E323" s="256"/>
      <c r="F323" s="179" t="s">
        <v>144</v>
      </c>
      <c r="G323" s="178" t="s">
        <v>318</v>
      </c>
      <c r="H323" s="160"/>
      <c r="I323" s="160"/>
      <c r="J323" s="180" t="s">
        <v>139</v>
      </c>
      <c r="K323" s="180">
        <v>1000000</v>
      </c>
      <c r="L323" s="257" t="s">
        <v>295</v>
      </c>
      <c r="M323" s="258"/>
      <c r="N323" s="147"/>
      <c r="X323" s="149"/>
      <c r="Y323" s="149"/>
    </row>
    <row r="324" spans="1:25" ht="12.75" hidden="1" customHeight="1">
      <c r="A324" s="173">
        <v>300010504</v>
      </c>
      <c r="B324" s="177" t="s">
        <v>214</v>
      </c>
      <c r="C324" s="135" t="str">
        <f t="shared" si="45"/>
        <v>300010504-רכבת רומניה</v>
      </c>
      <c r="D324" s="178">
        <v>45826</v>
      </c>
      <c r="E324" s="256"/>
      <c r="F324" s="179" t="s">
        <v>107</v>
      </c>
      <c r="G324" s="178" t="s">
        <v>907</v>
      </c>
      <c r="H324" s="160"/>
      <c r="I324" s="160"/>
      <c r="J324" s="180" t="s">
        <v>139</v>
      </c>
      <c r="K324" s="180">
        <v>4400000</v>
      </c>
      <c r="L324" s="257" t="s">
        <v>151</v>
      </c>
      <c r="M324" s="258"/>
      <c r="N324" s="147"/>
      <c r="X324" s="149"/>
      <c r="Y324" s="149"/>
    </row>
    <row r="325" spans="1:25" ht="12.75" customHeight="1">
      <c r="A325" s="173">
        <v>300010505</v>
      </c>
      <c r="B325" s="177" t="s">
        <v>908</v>
      </c>
      <c r="C325" s="135" t="str">
        <f t="shared" si="45"/>
        <v>300010505-מיפל קיסריה</v>
      </c>
      <c r="D325" s="178">
        <v>45831</v>
      </c>
      <c r="E325" s="114"/>
      <c r="F325" s="179" t="s">
        <v>185</v>
      </c>
      <c r="G325" s="178" t="s">
        <v>405</v>
      </c>
      <c r="I325" s="117"/>
      <c r="J325" s="180" t="s">
        <v>139</v>
      </c>
      <c r="K325" s="259">
        <v>400000</v>
      </c>
      <c r="L325" s="257" t="s">
        <v>295</v>
      </c>
      <c r="M325" s="258"/>
      <c r="W325" s="160"/>
      <c r="X325" s="160"/>
    </row>
    <row r="326" spans="1:25" ht="12.75" customHeight="1">
      <c r="A326" s="270">
        <v>300010506</v>
      </c>
      <c r="B326" s="177" t="s">
        <v>909</v>
      </c>
      <c r="C326" s="135" t="str">
        <f t="shared" si="45"/>
        <v xml:space="preserve">300010506-MADE1 </v>
      </c>
      <c r="D326" s="178">
        <v>45815</v>
      </c>
      <c r="E326" s="179"/>
      <c r="F326" s="179" t="s">
        <v>506</v>
      </c>
      <c r="G326" s="178" t="s">
        <v>507</v>
      </c>
      <c r="H326" s="180"/>
      <c r="I326" s="180"/>
      <c r="J326" s="180" t="s">
        <v>139</v>
      </c>
      <c r="K326" s="259">
        <v>170000</v>
      </c>
      <c r="L326" s="257" t="s">
        <v>225</v>
      </c>
      <c r="M326" s="258"/>
      <c r="W326" s="160"/>
      <c r="X326" s="160"/>
    </row>
    <row r="327" spans="1:25" ht="12.75" hidden="1" customHeight="1">
      <c r="A327" s="173">
        <v>300010507</v>
      </c>
      <c r="B327" s="177" t="s">
        <v>910</v>
      </c>
      <c r="C327" s="135" t="str">
        <f t="shared" si="45"/>
        <v>300010507-ירושלים של אור</v>
      </c>
      <c r="D327" s="178">
        <v>45833</v>
      </c>
      <c r="E327" s="114"/>
      <c r="F327" s="179" t="s">
        <v>107</v>
      </c>
      <c r="G327" s="178" t="s">
        <v>911</v>
      </c>
      <c r="I327" s="117"/>
      <c r="J327" s="180" t="s">
        <v>139</v>
      </c>
      <c r="K327" s="259">
        <v>45000</v>
      </c>
      <c r="L327" s="257" t="s">
        <v>151</v>
      </c>
      <c r="M327" s="258" t="s">
        <v>912</v>
      </c>
      <c r="W327" s="160"/>
      <c r="X327" s="160"/>
    </row>
    <row r="328" spans="1:25" ht="12.75" customHeight="1">
      <c r="A328" s="173">
        <v>300010508</v>
      </c>
      <c r="B328" s="177" t="s">
        <v>913</v>
      </c>
      <c r="C328" s="135" t="str">
        <f t="shared" si="45"/>
        <v>300010508-בתי המשפט הרצליה ופתח תקוה</v>
      </c>
      <c r="D328" s="178">
        <v>45836</v>
      </c>
      <c r="E328" s="114"/>
      <c r="F328" s="179" t="s">
        <v>150</v>
      </c>
      <c r="G328" s="178" t="s">
        <v>888</v>
      </c>
      <c r="I328" s="117"/>
      <c r="J328" s="180" t="s">
        <v>139</v>
      </c>
      <c r="K328" s="259">
        <v>150000</v>
      </c>
      <c r="L328" s="257" t="s">
        <v>295</v>
      </c>
      <c r="M328" s="258"/>
      <c r="W328" s="160"/>
      <c r="X328" s="160"/>
    </row>
    <row r="329" spans="1:25" ht="12" hidden="1" customHeight="1">
      <c r="A329" s="173">
        <v>300010509</v>
      </c>
      <c r="B329" s="177" t="s">
        <v>914</v>
      </c>
      <c r="C329" s="135" t="str">
        <f t="shared" si="45"/>
        <v>300010509-בית מלון בטבריה אמנון</v>
      </c>
      <c r="D329" s="178">
        <v>45837</v>
      </c>
      <c r="E329" s="114"/>
      <c r="F329" s="179" t="s">
        <v>199</v>
      </c>
      <c r="G329" s="178" t="s">
        <v>456</v>
      </c>
      <c r="I329" s="117"/>
      <c r="J329" s="180" t="s">
        <v>139</v>
      </c>
      <c r="K329" s="259">
        <v>65000</v>
      </c>
      <c r="L329" s="257" t="s">
        <v>297</v>
      </c>
      <c r="M329" s="258"/>
      <c r="W329" s="160"/>
      <c r="X329" s="160"/>
    </row>
    <row r="330" spans="1:25" ht="12.75" hidden="1" customHeight="1">
      <c r="A330" s="173">
        <v>300010510</v>
      </c>
      <c r="B330" s="177" t="s">
        <v>915</v>
      </c>
      <c r="C330" s="135" t="str">
        <f t="shared" si="45"/>
        <v>300010510-סוכריות בקריה</v>
      </c>
      <c r="D330" s="178">
        <v>45838</v>
      </c>
      <c r="E330" s="114"/>
      <c r="F330" s="179" t="s">
        <v>150</v>
      </c>
      <c r="G330" s="178" t="s">
        <v>845</v>
      </c>
      <c r="I330" s="117"/>
      <c r="J330" s="180" t="s">
        <v>139</v>
      </c>
      <c r="K330" s="259">
        <v>38000</v>
      </c>
      <c r="L330" s="257" t="s">
        <v>151</v>
      </c>
      <c r="M330" s="258"/>
      <c r="W330" s="160"/>
      <c r="X330" s="160"/>
    </row>
    <row r="331" spans="1:25" ht="12.75" customHeight="1">
      <c r="A331" s="173">
        <v>300010511</v>
      </c>
      <c r="B331" s="177" t="s">
        <v>916</v>
      </c>
      <c r="C331" s="135" t="str">
        <f t="shared" si="45"/>
        <v>300010511-שראל מוקד</v>
      </c>
      <c r="D331" s="178">
        <v>45848</v>
      </c>
      <c r="E331" s="114"/>
      <c r="F331" s="179" t="s">
        <v>185</v>
      </c>
      <c r="G331" s="178" t="s">
        <v>405</v>
      </c>
      <c r="I331" s="117"/>
      <c r="J331" s="180" t="s">
        <v>139</v>
      </c>
      <c r="K331" s="259">
        <v>107000</v>
      </c>
      <c r="L331" s="257" t="s">
        <v>295</v>
      </c>
      <c r="M331" s="258"/>
      <c r="W331" s="160"/>
      <c r="X331" s="160"/>
    </row>
    <row r="332" spans="1:25" ht="12.75" hidden="1" customHeight="1">
      <c r="A332" s="173">
        <v>300010512</v>
      </c>
      <c r="B332" s="177" t="s">
        <v>917</v>
      </c>
      <c r="C332" s="135" t="str">
        <f t="shared" si="45"/>
        <v>300010512-יסודות המעלה</v>
      </c>
      <c r="D332" s="178">
        <v>45848</v>
      </c>
      <c r="E332" s="114"/>
      <c r="F332" s="179" t="s">
        <v>107</v>
      </c>
      <c r="G332" s="178" t="s">
        <v>918</v>
      </c>
      <c r="I332" s="117"/>
      <c r="J332" s="180" t="s">
        <v>139</v>
      </c>
      <c r="K332" s="259">
        <v>134000</v>
      </c>
      <c r="L332" s="257" t="s">
        <v>297</v>
      </c>
      <c r="M332" s="258"/>
      <c r="W332" s="160"/>
      <c r="X332" s="160"/>
    </row>
    <row r="333" spans="1:25" ht="12.75" customHeight="1">
      <c r="A333" s="173">
        <v>300010513</v>
      </c>
      <c r="B333" s="177" t="s">
        <v>919</v>
      </c>
      <c r="C333" s="135" t="str">
        <f t="shared" si="45"/>
        <v>300010513-מערכת שוב בניין</v>
      </c>
      <c r="D333" s="178">
        <v>45848</v>
      </c>
      <c r="E333" s="114"/>
      <c r="F333" s="179" t="s">
        <v>147</v>
      </c>
      <c r="G333" s="178" t="s">
        <v>334</v>
      </c>
      <c r="I333" s="117"/>
      <c r="J333" s="180" t="s">
        <v>139</v>
      </c>
      <c r="K333" s="259">
        <v>71000</v>
      </c>
      <c r="L333" s="257" t="s">
        <v>295</v>
      </c>
      <c r="M333" s="258"/>
      <c r="W333" s="160"/>
      <c r="X333" s="160"/>
    </row>
    <row r="334" spans="1:25" ht="12.75" customHeight="1">
      <c r="A334" s="173">
        <v>300010515</v>
      </c>
      <c r="B334" s="177" t="s">
        <v>920</v>
      </c>
      <c r="C334" s="135" t="str">
        <f t="shared" si="45"/>
        <v>300010515-עיר בטוחה נס ציונה</v>
      </c>
      <c r="D334" s="178">
        <v>45851</v>
      </c>
      <c r="E334" s="114"/>
      <c r="F334" s="179" t="s">
        <v>135</v>
      </c>
      <c r="G334" s="178" t="s">
        <v>575</v>
      </c>
      <c r="I334" s="117"/>
      <c r="J334" s="180" t="s">
        <v>139</v>
      </c>
      <c r="K334" s="259">
        <v>160000</v>
      </c>
      <c r="L334" s="257" t="s">
        <v>295</v>
      </c>
      <c r="M334" s="258"/>
      <c r="W334" s="160"/>
      <c r="X334" s="160"/>
    </row>
    <row r="335" spans="1:25" ht="12.75" hidden="1" customHeight="1">
      <c r="A335" s="173">
        <v>300010517</v>
      </c>
      <c r="B335" s="177" t="s">
        <v>921</v>
      </c>
      <c r="C335" s="135" t="str">
        <f t="shared" si="45"/>
        <v xml:space="preserve">300010517-מוקד קהילות </v>
      </c>
      <c r="D335" s="178">
        <v>45851</v>
      </c>
      <c r="E335" s="114"/>
      <c r="F335" s="179" t="s">
        <v>107</v>
      </c>
      <c r="G335" s="178" t="s">
        <v>922</v>
      </c>
      <c r="I335" s="117"/>
      <c r="J335" s="180" t="s">
        <v>139</v>
      </c>
      <c r="K335" s="259">
        <v>5000000</v>
      </c>
      <c r="L335" s="257" t="s">
        <v>297</v>
      </c>
      <c r="M335" s="258" t="s">
        <v>923</v>
      </c>
      <c r="W335" s="160"/>
      <c r="X335" s="160"/>
    </row>
    <row r="336" spans="1:25" ht="12.75" hidden="1" customHeight="1">
      <c r="A336" s="173">
        <v>300010516</v>
      </c>
      <c r="B336" s="177" t="s">
        <v>924</v>
      </c>
      <c r="C336" s="135" t="str">
        <f t="shared" si="45"/>
        <v xml:space="preserve">300010516-אל ספורט </v>
      </c>
      <c r="D336" s="178">
        <v>45855</v>
      </c>
      <c r="E336" s="114"/>
      <c r="F336" s="179"/>
      <c r="G336" s="178" t="s">
        <v>925</v>
      </c>
      <c r="I336" s="117"/>
      <c r="J336" s="180" t="s">
        <v>102</v>
      </c>
      <c r="K336" s="259">
        <v>130000</v>
      </c>
      <c r="L336" s="257" t="s">
        <v>297</v>
      </c>
      <c r="M336" s="258"/>
      <c r="W336" s="160"/>
      <c r="X336" s="160"/>
    </row>
    <row r="337" spans="1:24" ht="12.75" customHeight="1">
      <c r="A337" s="173">
        <v>300010518</v>
      </c>
      <c r="B337" s="177" t="s">
        <v>926</v>
      </c>
      <c r="C337" s="135" t="str">
        <f t="shared" si="45"/>
        <v>300010518-בית החורש</v>
      </c>
      <c r="D337" s="178">
        <v>45875</v>
      </c>
      <c r="E337" s="114"/>
      <c r="F337" s="179" t="s">
        <v>112</v>
      </c>
      <c r="G337" s="178" t="s">
        <v>321</v>
      </c>
      <c r="I337" s="117"/>
      <c r="J337" s="180" t="s">
        <v>139</v>
      </c>
      <c r="K337" s="259">
        <v>130000</v>
      </c>
      <c r="L337" s="257" t="s">
        <v>295</v>
      </c>
      <c r="M337" s="258"/>
      <c r="W337" s="160"/>
      <c r="X337" s="160"/>
    </row>
    <row r="338" spans="1:24" ht="12.75" hidden="1" customHeight="1">
      <c r="A338" s="173">
        <v>300010514</v>
      </c>
      <c r="B338" s="177" t="s">
        <v>927</v>
      </c>
      <c r="C338" s="135" t="str">
        <f t="shared" si="45"/>
        <v>300010514-מערכת לניהול מרינה</v>
      </c>
      <c r="D338" s="178">
        <v>45851</v>
      </c>
      <c r="E338" s="114"/>
      <c r="F338" s="179" t="s">
        <v>107</v>
      </c>
      <c r="G338" s="178" t="s">
        <v>928</v>
      </c>
      <c r="I338" s="117"/>
      <c r="J338" s="180" t="s">
        <v>303</v>
      </c>
      <c r="K338" s="259">
        <v>195000</v>
      </c>
      <c r="L338" s="257" t="s">
        <v>297</v>
      </c>
      <c r="M338" s="258"/>
      <c r="W338" s="160"/>
      <c r="X338" s="160"/>
    </row>
    <row r="339" spans="1:24" ht="12.75" customHeight="1">
      <c r="A339" s="270">
        <v>300010519</v>
      </c>
      <c r="B339" s="177" t="s">
        <v>929</v>
      </c>
      <c r="C339" s="135" t="str">
        <f t="shared" si="45"/>
        <v>300010519-בבל קומה 33</v>
      </c>
      <c r="D339" s="178">
        <v>45876</v>
      </c>
      <c r="E339" s="114"/>
      <c r="F339" s="179" t="s">
        <v>150</v>
      </c>
      <c r="G339" s="178" t="s">
        <v>834</v>
      </c>
      <c r="I339" s="117"/>
      <c r="J339" s="180" t="s">
        <v>139</v>
      </c>
      <c r="K339" s="259">
        <v>38800</v>
      </c>
      <c r="L339" s="257" t="s">
        <v>295</v>
      </c>
      <c r="M339" s="258"/>
      <c r="W339" s="160"/>
      <c r="X339" s="160"/>
    </row>
    <row r="340" spans="1:24" ht="12.75" customHeight="1">
      <c r="A340" s="173">
        <v>300010520</v>
      </c>
      <c r="B340" s="177" t="s">
        <v>930</v>
      </c>
      <c r="C340" s="135" t="str">
        <f t="shared" si="45"/>
        <v>300010520-מוקד נתיבי ישראל מסוף תחבורה צבורית</v>
      </c>
      <c r="D340" s="178">
        <v>45879</v>
      </c>
      <c r="E340" s="114"/>
      <c r="F340" s="179" t="s">
        <v>107</v>
      </c>
      <c r="G340" s="178" t="s">
        <v>931</v>
      </c>
      <c r="I340" s="117"/>
      <c r="J340" s="180" t="s">
        <v>139</v>
      </c>
      <c r="K340" s="259"/>
      <c r="L340" s="257" t="s">
        <v>294</v>
      </c>
      <c r="M340" s="258" t="s">
        <v>932</v>
      </c>
      <c r="W340" s="160"/>
      <c r="X340" s="160"/>
    </row>
    <row r="341" spans="1:24" ht="12.75" customHeight="1">
      <c r="A341" s="173">
        <v>300010521</v>
      </c>
      <c r="B341" s="177" t="s">
        <v>933</v>
      </c>
      <c r="C341" s="135" t="str">
        <f t="shared" si="45"/>
        <v>300010521-שפד"ן</v>
      </c>
      <c r="D341" s="178">
        <v>45886</v>
      </c>
      <c r="E341" s="179"/>
      <c r="F341" s="178" t="s">
        <v>150</v>
      </c>
      <c r="G341" s="178" t="s">
        <v>579</v>
      </c>
      <c r="H341" s="180"/>
      <c r="I341" s="180"/>
      <c r="J341" s="180" t="s">
        <v>139</v>
      </c>
      <c r="K341" s="259">
        <v>77000</v>
      </c>
      <c r="L341" s="257" t="s">
        <v>295</v>
      </c>
      <c r="M341" s="258" t="s">
        <v>889</v>
      </c>
      <c r="W341" s="160"/>
      <c r="X341" s="160"/>
    </row>
    <row r="342" spans="1:24" ht="12.75" hidden="1" customHeight="1">
      <c r="A342" s="173">
        <v>300010522</v>
      </c>
      <c r="B342" s="177" t="s">
        <v>934</v>
      </c>
      <c r="C342" s="135" t="str">
        <f t="shared" si="45"/>
        <v>300010522-בית נמרודי (7 כוכים)</v>
      </c>
      <c r="D342" s="178">
        <v>45889</v>
      </c>
      <c r="E342" s="114"/>
      <c r="F342" s="179" t="s">
        <v>150</v>
      </c>
      <c r="G342" s="178" t="s">
        <v>834</v>
      </c>
      <c r="I342" s="117"/>
      <c r="J342" s="180" t="s">
        <v>139</v>
      </c>
      <c r="K342" s="259">
        <v>47000</v>
      </c>
      <c r="L342" s="257" t="s">
        <v>151</v>
      </c>
      <c r="M342" s="258"/>
      <c r="W342" s="160"/>
      <c r="X342" s="160"/>
    </row>
    <row r="343" spans="1:24" ht="12.75" customHeight="1">
      <c r="A343" s="173">
        <v>300010523</v>
      </c>
      <c r="B343" s="177" t="s">
        <v>935</v>
      </c>
      <c r="C343" s="135" t="str">
        <f t="shared" si="45"/>
        <v>300010523- גילוי וכיבוי רפאל</v>
      </c>
      <c r="D343" s="178">
        <v>45896</v>
      </c>
      <c r="E343" s="114"/>
      <c r="F343" s="179" t="s">
        <v>207</v>
      </c>
      <c r="G343" s="178" t="s">
        <v>466</v>
      </c>
      <c r="I343" s="117"/>
      <c r="J343" s="180" t="s">
        <v>139</v>
      </c>
      <c r="K343" s="259">
        <v>360000</v>
      </c>
      <c r="L343" s="257" t="s">
        <v>295</v>
      </c>
      <c r="M343" s="258"/>
      <c r="W343" s="160"/>
      <c r="X343" s="160"/>
    </row>
    <row r="344" spans="1:24" ht="12.75" customHeight="1">
      <c r="A344" s="173">
        <v>300010524</v>
      </c>
      <c r="B344" s="177" t="s">
        <v>936</v>
      </c>
      <c r="C344" s="135" t="str">
        <f t="shared" si="45"/>
        <v>300010524-שוב ערוני קרית שמונה</v>
      </c>
      <c r="D344" s="178">
        <v>45897</v>
      </c>
      <c r="E344" s="114"/>
      <c r="F344" s="179" t="s">
        <v>144</v>
      </c>
      <c r="G344" s="178" t="s">
        <v>318</v>
      </c>
      <c r="I344" s="117"/>
      <c r="J344" s="180" t="s">
        <v>139</v>
      </c>
      <c r="K344" s="259">
        <v>255000</v>
      </c>
      <c r="L344" s="257" t="s">
        <v>295</v>
      </c>
      <c r="M344" s="258"/>
      <c r="W344" s="160"/>
      <c r="X344" s="160"/>
    </row>
    <row r="345" spans="1:24" ht="12.75" customHeight="1">
      <c r="A345" s="173">
        <v>300010525</v>
      </c>
      <c r="B345" s="177" t="s">
        <v>937</v>
      </c>
      <c r="C345" s="135" t="str">
        <f t="shared" si="45"/>
        <v>300010525-מכרז תחנת אנרגיה</v>
      </c>
      <c r="D345" s="178">
        <v>45920</v>
      </c>
      <c r="E345" s="114"/>
      <c r="F345" s="179" t="s">
        <v>150</v>
      </c>
      <c r="G345" s="178" t="s">
        <v>888</v>
      </c>
      <c r="I345" s="117"/>
      <c r="J345" s="180" t="s">
        <v>139</v>
      </c>
      <c r="K345" s="259">
        <v>120000</v>
      </c>
      <c r="L345" s="257" t="s">
        <v>295</v>
      </c>
      <c r="M345" s="258"/>
      <c r="W345" s="160"/>
      <c r="X345" s="160"/>
    </row>
    <row r="346" spans="1:24" ht="12.75" hidden="1" customHeight="1">
      <c r="A346" s="173">
        <v>300010526</v>
      </c>
      <c r="B346" s="177" t="s">
        <v>938</v>
      </c>
      <c r="C346" s="135" t="str">
        <f t="shared" si="45"/>
        <v>300010526-בית אגד</v>
      </c>
      <c r="D346" s="178">
        <v>45920</v>
      </c>
      <c r="E346" s="114"/>
      <c r="F346" s="179" t="s">
        <v>185</v>
      </c>
      <c r="G346" s="178" t="s">
        <v>405</v>
      </c>
      <c r="I346" s="117"/>
      <c r="J346" s="180" t="s">
        <v>139</v>
      </c>
      <c r="K346" s="259">
        <v>320000</v>
      </c>
      <c r="L346" s="257" t="s">
        <v>151</v>
      </c>
      <c r="M346" s="258"/>
      <c r="W346" s="160"/>
      <c r="X346" s="160"/>
    </row>
    <row r="347" spans="1:24" ht="12.75" customHeight="1">
      <c r="A347" s="173">
        <v>300010527</v>
      </c>
      <c r="B347" s="177" t="s">
        <v>939</v>
      </c>
      <c r="C347" s="135" t="str">
        <f t="shared" si="45"/>
        <v>300010527-ערבה תיכונה</v>
      </c>
      <c r="D347" s="178">
        <v>45908</v>
      </c>
      <c r="E347" s="114"/>
      <c r="F347" s="179" t="s">
        <v>150</v>
      </c>
      <c r="G347" s="178" t="s">
        <v>888</v>
      </c>
      <c r="I347" s="117"/>
      <c r="J347" s="180" t="s">
        <v>139</v>
      </c>
      <c r="K347" s="259">
        <v>200000</v>
      </c>
      <c r="L347" s="257" t="s">
        <v>295</v>
      </c>
      <c r="M347" s="258"/>
      <c r="W347" s="160"/>
      <c r="X347" s="160"/>
    </row>
    <row r="348" spans="1:24" ht="12.75" customHeight="1">
      <c r="A348" s="173">
        <v>300010528</v>
      </c>
      <c r="B348" s="177" t="s">
        <v>226</v>
      </c>
      <c r="C348" s="135" t="str">
        <f t="shared" si="45"/>
        <v>300010528-מובילאי</v>
      </c>
      <c r="D348" s="178">
        <v>45939</v>
      </c>
      <c r="E348" s="114"/>
      <c r="F348" s="179" t="s">
        <v>107</v>
      </c>
      <c r="G348" s="178" t="s">
        <v>940</v>
      </c>
      <c r="I348" s="117"/>
      <c r="J348" s="180" t="s">
        <v>139</v>
      </c>
      <c r="K348" s="259">
        <v>900000</v>
      </c>
      <c r="L348" s="257" t="s">
        <v>295</v>
      </c>
      <c r="M348" s="258"/>
      <c r="W348" s="160"/>
      <c r="X348" s="160"/>
    </row>
    <row r="349" spans="1:24" ht="12.75" hidden="1" customHeight="1">
      <c r="A349" s="173">
        <v>300010529</v>
      </c>
      <c r="B349" s="177" t="s">
        <v>941</v>
      </c>
      <c r="C349" s="135" t="str">
        <f t="shared" si="45"/>
        <v>300010529-בית 12</v>
      </c>
      <c r="D349" s="178">
        <v>45953</v>
      </c>
      <c r="E349" s="114"/>
      <c r="F349" s="179" t="s">
        <v>150</v>
      </c>
      <c r="G349" s="178" t="s">
        <v>834</v>
      </c>
      <c r="I349" s="117"/>
      <c r="J349" s="180" t="s">
        <v>139</v>
      </c>
      <c r="K349" s="259">
        <v>41200</v>
      </c>
      <c r="L349" s="257" t="s">
        <v>151</v>
      </c>
      <c r="M349" s="258"/>
      <c r="W349" s="160"/>
      <c r="X349" s="160"/>
    </row>
    <row r="350" spans="1:24" ht="12.75" hidden="1" customHeight="1">
      <c r="A350" s="173">
        <v>300010530</v>
      </c>
      <c r="B350" s="177" t="s">
        <v>202</v>
      </c>
      <c r="C350" s="135" t="str">
        <f t="shared" ref="C350:C352" si="46">A350&amp;"-"&amp;B350</f>
        <v>300010530-שוב אש דדה סנטר</v>
      </c>
      <c r="D350" s="178">
        <v>45959</v>
      </c>
      <c r="E350" s="114"/>
      <c r="F350" s="179" t="s">
        <v>204</v>
      </c>
      <c r="G350" s="178" t="s">
        <v>911</v>
      </c>
      <c r="I350" s="117"/>
      <c r="J350" s="180" t="s">
        <v>154</v>
      </c>
      <c r="K350" s="259">
        <v>20000</v>
      </c>
      <c r="L350" s="257" t="s">
        <v>151</v>
      </c>
      <c r="M350" s="258"/>
      <c r="W350" s="160"/>
      <c r="X350" s="160"/>
    </row>
    <row r="351" spans="1:24" ht="12.75" customHeight="1">
      <c r="A351" s="173">
        <v>300010531</v>
      </c>
      <c r="B351" s="177" t="s">
        <v>942</v>
      </c>
      <c r="C351" s="135" t="str">
        <f t="shared" si="46"/>
        <v xml:space="preserve">300010531- משרד הבריאות הנצרת </v>
      </c>
      <c r="D351" s="178">
        <v>45964</v>
      </c>
      <c r="E351" s="114"/>
      <c r="F351" s="179" t="s">
        <v>266</v>
      </c>
      <c r="G351" s="178" t="s">
        <v>943</v>
      </c>
      <c r="I351" s="117"/>
      <c r="J351" s="180" t="s">
        <v>139</v>
      </c>
      <c r="K351" s="259">
        <v>40000</v>
      </c>
      <c r="L351" s="257" t="s">
        <v>295</v>
      </c>
      <c r="M351" s="258"/>
      <c r="W351" s="160"/>
      <c r="X351" s="160"/>
    </row>
    <row r="352" spans="1:24" ht="12.75" customHeight="1">
      <c r="A352" s="173">
        <v>300010532</v>
      </c>
      <c r="B352" s="177" t="s">
        <v>944</v>
      </c>
      <c r="C352" s="135" t="str">
        <f t="shared" si="46"/>
        <v>300010532-תחנת חשמל חגית</v>
      </c>
      <c r="D352" s="178">
        <v>45964</v>
      </c>
      <c r="E352" s="114"/>
      <c r="F352" s="179" t="s">
        <v>185</v>
      </c>
      <c r="G352" s="178" t="s">
        <v>726</v>
      </c>
      <c r="I352" s="117"/>
      <c r="J352" s="180" t="s">
        <v>139</v>
      </c>
      <c r="K352" s="259">
        <v>57000</v>
      </c>
      <c r="L352" s="257" t="s">
        <v>295</v>
      </c>
      <c r="M352" s="258"/>
      <c r="W352" s="160"/>
      <c r="X352" s="160"/>
    </row>
    <row r="353" spans="1:24" ht="12.75" customHeight="1">
      <c r="A353" s="173">
        <v>300010533</v>
      </c>
      <c r="B353" s="177" t="s">
        <v>945</v>
      </c>
      <c r="C353" s="135" t="str">
        <f t="shared" ref="C353:C383" si="47">A353&amp;"-"&amp;B353</f>
        <v>300010533-מרכז רפואי, הגבעה 700</v>
      </c>
      <c r="D353" s="178">
        <v>45984</v>
      </c>
      <c r="E353" s="114"/>
      <c r="F353" s="179" t="s">
        <v>107</v>
      </c>
      <c r="G353" s="178" t="s">
        <v>946</v>
      </c>
      <c r="I353" s="117"/>
      <c r="J353" s="180" t="s">
        <v>139</v>
      </c>
      <c r="K353" s="259">
        <v>75000</v>
      </c>
      <c r="L353" s="257" t="s">
        <v>295</v>
      </c>
      <c r="M353" s="258"/>
      <c r="W353" s="160"/>
      <c r="X353" s="160"/>
    </row>
    <row r="354" spans="1:24" ht="12.75" customHeight="1">
      <c r="A354" s="173">
        <v>300010534</v>
      </c>
      <c r="B354" s="177" t="s">
        <v>947</v>
      </c>
      <c r="C354" s="135" t="str">
        <f t="shared" si="47"/>
        <v>300010534-גינרי ירושלים</v>
      </c>
      <c r="D354" s="178">
        <v>45984</v>
      </c>
      <c r="E354" s="114"/>
      <c r="F354" s="179" t="s">
        <v>144</v>
      </c>
      <c r="G354" s="178" t="s">
        <v>948</v>
      </c>
      <c r="I354" s="117"/>
      <c r="J354" s="180" t="s">
        <v>139</v>
      </c>
      <c r="K354" s="259">
        <v>150000</v>
      </c>
      <c r="L354" s="257" t="s">
        <v>295</v>
      </c>
      <c r="M354" s="258"/>
      <c r="W354" s="160"/>
      <c r="X354" s="160"/>
    </row>
    <row r="355" spans="1:24" ht="12.75" customHeight="1">
      <c r="A355" s="173">
        <v>300010535</v>
      </c>
      <c r="B355" s="177" t="s">
        <v>949</v>
      </c>
      <c r="C355" s="135" t="str">
        <f t="shared" si="47"/>
        <v>300010535-נוף ים איכות הסביבה</v>
      </c>
      <c r="D355" s="178">
        <v>45991</v>
      </c>
      <c r="E355" s="114"/>
      <c r="F355" s="179" t="s">
        <v>150</v>
      </c>
      <c r="G355" s="178" t="s">
        <v>888</v>
      </c>
      <c r="I355" s="117"/>
      <c r="J355" s="180" t="s">
        <v>139</v>
      </c>
      <c r="K355" s="259">
        <v>160000</v>
      </c>
      <c r="L355" s="257" t="s">
        <v>295</v>
      </c>
      <c r="M355" s="258"/>
      <c r="W355" s="160"/>
      <c r="X355" s="160"/>
    </row>
    <row r="356" spans="1:24" ht="12.75" customHeight="1">
      <c r="A356" s="173">
        <v>300010536</v>
      </c>
      <c r="B356" s="177" t="s">
        <v>950</v>
      </c>
      <c r="C356" s="135" t="str">
        <f t="shared" si="47"/>
        <v>300010536-מכרז משטרה</v>
      </c>
      <c r="D356" s="178">
        <v>45991</v>
      </c>
      <c r="E356" s="114"/>
      <c r="F356" s="179" t="s">
        <v>150</v>
      </c>
      <c r="G356" s="178" t="s">
        <v>888</v>
      </c>
      <c r="I356" s="117"/>
      <c r="J356" s="180" t="s">
        <v>139</v>
      </c>
      <c r="K356" s="259"/>
      <c r="L356" s="257"/>
      <c r="M356" s="258"/>
      <c r="W356" s="160"/>
      <c r="X356" s="160"/>
    </row>
    <row r="357" spans="1:24" ht="12.75" customHeight="1">
      <c r="A357" s="173">
        <v>300010537</v>
      </c>
      <c r="B357" s="177" t="s">
        <v>951</v>
      </c>
      <c r="C357" s="135" t="str">
        <f t="shared" si="47"/>
        <v>300010537-תאגיד מעיינות אתא</v>
      </c>
      <c r="D357" s="178">
        <v>45991</v>
      </c>
      <c r="E357" s="114"/>
      <c r="F357" s="179" t="s">
        <v>185</v>
      </c>
      <c r="G357" s="178" t="s">
        <v>726</v>
      </c>
      <c r="I357" s="117"/>
      <c r="J357" s="180" t="s">
        <v>139</v>
      </c>
      <c r="K357" s="259"/>
      <c r="L357" s="257"/>
      <c r="M357" s="258"/>
      <c r="W357" s="160"/>
      <c r="X357" s="160"/>
    </row>
    <row r="358" spans="1:24" ht="12.75" hidden="1" customHeight="1">
      <c r="A358" s="173">
        <v>300010538</v>
      </c>
      <c r="B358" s="177" t="s">
        <v>952</v>
      </c>
      <c r="C358" s="135" t="str">
        <f t="shared" si="47"/>
        <v>300010538-תנובה אש</v>
      </c>
      <c r="D358" s="178">
        <v>45993</v>
      </c>
      <c r="E358" s="114"/>
      <c r="F358" s="179" t="s">
        <v>207</v>
      </c>
      <c r="G358" s="178" t="s">
        <v>338</v>
      </c>
      <c r="I358" s="117"/>
      <c r="J358" s="180" t="s">
        <v>154</v>
      </c>
      <c r="K358" s="259">
        <v>25000</v>
      </c>
      <c r="L358" s="257" t="s">
        <v>151</v>
      </c>
      <c r="M358" s="258"/>
      <c r="W358" s="160"/>
      <c r="X358" s="160"/>
    </row>
    <row r="359" spans="1:24" ht="12.75" customHeight="1">
      <c r="A359" s="173">
        <v>300010539</v>
      </c>
      <c r="B359" s="177" t="s">
        <v>953</v>
      </c>
      <c r="C359" s="135" t="str">
        <f t="shared" si="47"/>
        <v>300010539-שוהם חוות שרתים MDC</v>
      </c>
      <c r="D359" s="178">
        <v>45999</v>
      </c>
      <c r="E359" s="114"/>
      <c r="F359" s="179" t="s">
        <v>144</v>
      </c>
      <c r="G359" s="178" t="s">
        <v>318</v>
      </c>
      <c r="I359" s="117"/>
      <c r="J359" s="180" t="s">
        <v>139</v>
      </c>
      <c r="K359" s="259">
        <v>500000</v>
      </c>
      <c r="L359" s="257" t="s">
        <v>295</v>
      </c>
      <c r="M359" s="258"/>
      <c r="W359" s="160"/>
      <c r="X359" s="160"/>
    </row>
    <row r="360" spans="1:24" ht="12.75" customHeight="1">
      <c r="A360" s="173">
        <v>300010541</v>
      </c>
      <c r="B360" s="177" t="s">
        <v>954</v>
      </c>
      <c r="C360" s="135" t="str">
        <f t="shared" si="47"/>
        <v>300010541-JFrog</v>
      </c>
      <c r="D360" s="178">
        <v>46003</v>
      </c>
      <c r="E360" s="114"/>
      <c r="F360" s="179" t="s">
        <v>144</v>
      </c>
      <c r="G360" s="178" t="s">
        <v>318</v>
      </c>
      <c r="I360" s="117"/>
      <c r="J360" s="180" t="s">
        <v>139</v>
      </c>
      <c r="K360" s="259">
        <v>165000</v>
      </c>
      <c r="L360" s="257" t="s">
        <v>295</v>
      </c>
      <c r="M360" s="258"/>
      <c r="W360" s="160"/>
      <c r="X360" s="160"/>
    </row>
    <row r="361" spans="1:24" ht="12.75" customHeight="1">
      <c r="A361" s="173">
        <v>300010542</v>
      </c>
      <c r="B361" s="177" t="s">
        <v>955</v>
      </c>
      <c r="C361" s="135" t="str">
        <f t="shared" si="47"/>
        <v>300010542-בורסה לנירות ערך</v>
      </c>
      <c r="D361" s="178">
        <v>46005</v>
      </c>
      <c r="E361" s="114"/>
      <c r="F361" s="179" t="s">
        <v>956</v>
      </c>
      <c r="G361" s="178" t="s">
        <v>726</v>
      </c>
      <c r="I361" s="117"/>
      <c r="J361" s="180" t="s">
        <v>139</v>
      </c>
      <c r="K361" s="259"/>
      <c r="L361" s="257"/>
      <c r="M361" s="258"/>
      <c r="W361" s="160"/>
      <c r="X361" s="160"/>
    </row>
    <row r="362" spans="1:24" ht="12.75" customHeight="1">
      <c r="A362" s="173">
        <v>300010543</v>
      </c>
      <c r="B362" s="177" t="s">
        <v>957</v>
      </c>
      <c r="C362" s="135" t="str">
        <f t="shared" si="47"/>
        <v>300010543-כללית מוקד ראשי</v>
      </c>
      <c r="D362" s="178">
        <v>46011</v>
      </c>
      <c r="E362" s="114"/>
      <c r="F362" s="179" t="s">
        <v>107</v>
      </c>
      <c r="G362" s="178" t="s">
        <v>958</v>
      </c>
      <c r="I362" s="117"/>
      <c r="J362" s="180" t="s">
        <v>139</v>
      </c>
      <c r="K362" s="259">
        <v>100000</v>
      </c>
      <c r="L362" s="257" t="s">
        <v>295</v>
      </c>
      <c r="M362" s="258"/>
      <c r="W362" s="160"/>
      <c r="X362" s="160"/>
    </row>
    <row r="363" spans="1:24" ht="12.75" customHeight="1">
      <c r="A363" s="173">
        <v>300010544</v>
      </c>
      <c r="B363" s="177" t="s">
        <v>959</v>
      </c>
      <c r="C363" s="135" t="str">
        <f t="shared" si="47"/>
        <v>300010544-שכטרמן חוות שרתים</v>
      </c>
      <c r="D363" s="178">
        <v>46011</v>
      </c>
      <c r="E363" s="114"/>
      <c r="F363" s="179" t="s">
        <v>144</v>
      </c>
      <c r="G363" s="178" t="s">
        <v>318</v>
      </c>
      <c r="I363" s="117"/>
      <c r="J363" s="180" t="s">
        <v>139</v>
      </c>
      <c r="K363" s="259">
        <v>180000</v>
      </c>
      <c r="L363" s="257" t="s">
        <v>295</v>
      </c>
      <c r="M363" s="258"/>
      <c r="W363" s="160"/>
      <c r="X363" s="160"/>
    </row>
    <row r="364" spans="1:24" ht="12.75" customHeight="1">
      <c r="A364" s="173">
        <v>300010545</v>
      </c>
      <c r="B364" s="177" t="s">
        <v>960</v>
      </c>
      <c r="C364" s="135" t="str">
        <f t="shared" si="47"/>
        <v>300010545-מערכת שו"ב סורוקה</v>
      </c>
      <c r="D364" s="178">
        <v>46015</v>
      </c>
      <c r="E364" s="114"/>
      <c r="F364" s="179"/>
      <c r="G364" s="178" t="s">
        <v>961</v>
      </c>
      <c r="I364" s="117"/>
      <c r="J364" s="180" t="s">
        <v>139</v>
      </c>
      <c r="K364" s="259">
        <v>650000</v>
      </c>
      <c r="L364" s="257" t="s">
        <v>294</v>
      </c>
      <c r="M364" s="258"/>
      <c r="W364" s="160"/>
      <c r="X364" s="160"/>
    </row>
    <row r="365" spans="1:24" ht="12.75" customHeight="1">
      <c r="A365" s="173">
        <v>300010546</v>
      </c>
      <c r="B365" s="177" t="s">
        <v>962</v>
      </c>
      <c r="C365" s="135" t="str">
        <f t="shared" si="47"/>
        <v>300010546-חיבור צילרים חדשים קניון רננים</v>
      </c>
      <c r="D365" s="178">
        <v>46016</v>
      </c>
      <c r="E365" s="114"/>
      <c r="F365" s="179" t="s">
        <v>112</v>
      </c>
      <c r="G365" s="178" t="s">
        <v>963</v>
      </c>
      <c r="I365" s="117"/>
      <c r="J365" s="180" t="s">
        <v>102</v>
      </c>
      <c r="K365" s="259">
        <v>75000</v>
      </c>
      <c r="L365" s="257" t="s">
        <v>295</v>
      </c>
      <c r="M365" s="258"/>
      <c r="W365" s="160"/>
      <c r="X365" s="160"/>
    </row>
    <row r="366" spans="1:24" ht="12.75" customHeight="1">
      <c r="A366" s="173">
        <v>300010547</v>
      </c>
      <c r="B366" s="177" t="s">
        <v>964</v>
      </c>
      <c r="C366" s="135" t="str">
        <f t="shared" si="47"/>
        <v>300010547-מכרז רהמ</v>
      </c>
      <c r="D366" s="178">
        <v>46021</v>
      </c>
      <c r="E366" s="114"/>
      <c r="F366" s="179" t="s">
        <v>188</v>
      </c>
      <c r="G366" s="178" t="s">
        <v>388</v>
      </c>
      <c r="I366" s="117"/>
      <c r="J366" s="180" t="s">
        <v>139</v>
      </c>
      <c r="K366" s="259">
        <v>74000</v>
      </c>
      <c r="L366" s="257" t="s">
        <v>295</v>
      </c>
      <c r="M366" s="258"/>
      <c r="W366" s="160"/>
      <c r="X366" s="160"/>
    </row>
    <row r="367" spans="1:24" ht="12.75" customHeight="1">
      <c r="A367" s="173">
        <v>300010548</v>
      </c>
      <c r="B367" s="177" t="s">
        <v>965</v>
      </c>
      <c r="C367" s="135" t="str">
        <f t="shared" si="47"/>
        <v>300010548-כנסת ישראל</v>
      </c>
      <c r="D367" s="178">
        <v>46021</v>
      </c>
      <c r="E367" s="114"/>
      <c r="F367" s="179" t="s">
        <v>188</v>
      </c>
      <c r="G367" s="178" t="s">
        <v>388</v>
      </c>
      <c r="I367" s="117"/>
      <c r="J367" s="180" t="s">
        <v>139</v>
      </c>
      <c r="K367" s="259">
        <v>1300000</v>
      </c>
      <c r="L367" s="257" t="s">
        <v>295</v>
      </c>
      <c r="M367" s="258"/>
      <c r="W367" s="160"/>
      <c r="X367" s="160"/>
    </row>
    <row r="368" spans="1:24" ht="12.75" customHeight="1">
      <c r="A368" s="173">
        <v>300010549</v>
      </c>
      <c r="B368" s="177" t="s">
        <v>966</v>
      </c>
      <c r="C368" s="135" t="str">
        <f t="shared" si="47"/>
        <v>300010549-בביה"מ שלום בפ"ת</v>
      </c>
      <c r="D368" s="178">
        <v>46021</v>
      </c>
      <c r="E368" s="114"/>
      <c r="F368" s="179" t="s">
        <v>967</v>
      </c>
      <c r="G368" s="178" t="s">
        <v>968</v>
      </c>
      <c r="I368" s="117"/>
      <c r="J368" s="180" t="s">
        <v>108</v>
      </c>
      <c r="K368" s="259"/>
      <c r="L368" s="257"/>
      <c r="M368" s="258"/>
      <c r="W368" s="160"/>
      <c r="X368" s="160"/>
    </row>
    <row r="369" spans="1:24" ht="12.75" customHeight="1">
      <c r="A369" s="173">
        <v>300010550</v>
      </c>
      <c r="B369" s="177" t="s">
        <v>969</v>
      </c>
      <c r="C369" s="135" t="str">
        <f t="shared" si="47"/>
        <v>300010550-אוריין הרחבה</v>
      </c>
      <c r="D369" s="178">
        <v>46037</v>
      </c>
      <c r="E369" s="114"/>
      <c r="F369" s="179" t="s">
        <v>107</v>
      </c>
      <c r="G369" s="178" t="s">
        <v>970</v>
      </c>
      <c r="I369" s="117"/>
      <c r="J369" s="180" t="s">
        <v>139</v>
      </c>
      <c r="K369" s="259">
        <v>45000</v>
      </c>
      <c r="L369" s="257" t="s">
        <v>295</v>
      </c>
      <c r="M369" s="258"/>
      <c r="W369" s="160"/>
      <c r="X369" s="160"/>
    </row>
    <row r="370" spans="1:24" ht="12.75" customHeight="1">
      <c r="A370" s="173">
        <v>300010551</v>
      </c>
      <c r="B370" s="177"/>
      <c r="C370" s="135" t="str">
        <f t="shared" si="47"/>
        <v>300010551-</v>
      </c>
      <c r="D370" s="178">
        <v>46037</v>
      </c>
      <c r="E370" s="114"/>
      <c r="F370" s="179" t="s">
        <v>185</v>
      </c>
      <c r="G370" s="178" t="s">
        <v>726</v>
      </c>
      <c r="I370" s="117"/>
      <c r="J370" s="180" t="s">
        <v>139</v>
      </c>
      <c r="K370" s="259"/>
      <c r="L370" s="257"/>
      <c r="M370" s="258"/>
      <c r="W370" s="160"/>
      <c r="X370" s="160"/>
    </row>
    <row r="371" spans="1:24" ht="12.75" hidden="1" customHeight="1">
      <c r="A371" s="173">
        <v>300010552</v>
      </c>
      <c r="B371" s="177" t="s">
        <v>971</v>
      </c>
      <c r="C371" s="135" t="str">
        <f t="shared" si="47"/>
        <v>300010552-אורשר אשדוד פריצה</v>
      </c>
      <c r="D371" s="178">
        <v>46041</v>
      </c>
      <c r="E371" s="114"/>
      <c r="F371" s="179" t="s">
        <v>107</v>
      </c>
      <c r="G371" s="178" t="s">
        <v>972</v>
      </c>
      <c r="I371" s="117"/>
      <c r="J371" s="180" t="s">
        <v>139</v>
      </c>
      <c r="K371" s="259">
        <v>77672</v>
      </c>
      <c r="L371" s="257" t="s">
        <v>297</v>
      </c>
      <c r="M371" s="258"/>
      <c r="W371" s="160"/>
      <c r="X371" s="160"/>
    </row>
    <row r="372" spans="1:24" ht="12.75" customHeight="1">
      <c r="A372" s="173">
        <v>300010553</v>
      </c>
      <c r="B372" s="177" t="s">
        <v>973</v>
      </c>
      <c r="C372" s="135" t="str">
        <f t="shared" si="47"/>
        <v>300010553-יוניון שורק</v>
      </c>
      <c r="D372" s="178">
        <v>46042</v>
      </c>
      <c r="E372" s="114"/>
      <c r="F372" s="179" t="s">
        <v>600</v>
      </c>
      <c r="G372" s="178" t="s">
        <v>601</v>
      </c>
      <c r="I372" s="117"/>
      <c r="J372" s="180" t="s">
        <v>139</v>
      </c>
      <c r="K372" s="259">
        <v>31000</v>
      </c>
      <c r="L372" s="257" t="s">
        <v>295</v>
      </c>
      <c r="M372" s="258"/>
      <c r="W372" s="160"/>
      <c r="X372" s="160"/>
    </row>
    <row r="373" spans="1:24" ht="12.75" customHeight="1">
      <c r="A373" s="173">
        <v>300010554</v>
      </c>
      <c r="B373" s="177" t="s">
        <v>974</v>
      </c>
      <c r="C373" s="135" t="str">
        <f t="shared" si="47"/>
        <v>300010554-טיב טעם מרלוג</v>
      </c>
      <c r="D373" s="178">
        <v>46044</v>
      </c>
      <c r="E373" s="114"/>
      <c r="F373" s="179" t="s">
        <v>329</v>
      </c>
      <c r="G373" s="178" t="s">
        <v>330</v>
      </c>
      <c r="I373" s="117"/>
      <c r="J373" s="180" t="s">
        <v>139</v>
      </c>
      <c r="K373" s="259">
        <v>110000</v>
      </c>
      <c r="L373" s="257" t="s">
        <v>295</v>
      </c>
      <c r="M373" s="258"/>
      <c r="W373" s="160"/>
      <c r="X373" s="160"/>
    </row>
    <row r="374" spans="1:24" ht="12.75" customHeight="1">
      <c r="A374" s="173">
        <v>300010555</v>
      </c>
      <c r="B374" s="177" t="s">
        <v>975</v>
      </c>
      <c r="C374" s="135" t="str">
        <f t="shared" si="47"/>
        <v xml:space="preserve">300010555- פיתוח ממשק לרכבת ישראל MER </v>
      </c>
      <c r="D374" s="178">
        <v>46047</v>
      </c>
      <c r="E374" s="114"/>
      <c r="F374" s="179" t="s">
        <v>107</v>
      </c>
      <c r="G374" s="178" t="s">
        <v>976</v>
      </c>
      <c r="I374" s="117"/>
      <c r="J374" s="180" t="s">
        <v>303</v>
      </c>
      <c r="K374" s="259">
        <v>54000</v>
      </c>
      <c r="L374" s="257" t="s">
        <v>295</v>
      </c>
      <c r="M374" s="258"/>
      <c r="W374" s="160"/>
      <c r="X374" s="160"/>
    </row>
    <row r="375" spans="1:24" ht="12.75" customHeight="1">
      <c r="A375" s="173">
        <v>300010556</v>
      </c>
      <c r="B375" s="177" t="s">
        <v>977</v>
      </c>
      <c r="C375" s="135" t="str">
        <f t="shared" si="47"/>
        <v>300010556-קרסו ויתניה בניין A</v>
      </c>
      <c r="D375" s="178">
        <v>46049</v>
      </c>
      <c r="E375" s="114"/>
      <c r="F375" s="179" t="s">
        <v>124</v>
      </c>
      <c r="G375" s="178" t="s">
        <v>978</v>
      </c>
      <c r="I375" s="117"/>
      <c r="J375" s="180" t="s">
        <v>102</v>
      </c>
      <c r="K375" s="259">
        <v>522649.8</v>
      </c>
      <c r="L375" s="257" t="s">
        <v>295</v>
      </c>
      <c r="M375" s="258"/>
      <c r="W375" s="160"/>
      <c r="X375" s="160"/>
    </row>
    <row r="376" spans="1:24" ht="12.75" customHeight="1">
      <c r="A376" s="173">
        <v>300010557</v>
      </c>
      <c r="B376" s="177" t="s">
        <v>926</v>
      </c>
      <c r="C376" s="135" t="str">
        <f t="shared" si="47"/>
        <v>300010557-בית החורש</v>
      </c>
      <c r="D376" s="178">
        <v>46057</v>
      </c>
      <c r="E376" s="114"/>
      <c r="F376" s="179" t="s">
        <v>204</v>
      </c>
      <c r="G376" s="178" t="s">
        <v>911</v>
      </c>
      <c r="I376" s="117"/>
      <c r="J376" s="180" t="s">
        <v>108</v>
      </c>
      <c r="K376" s="259">
        <v>1800000</v>
      </c>
      <c r="L376" s="257" t="s">
        <v>295</v>
      </c>
      <c r="M376" s="258"/>
      <c r="W376" s="160"/>
      <c r="X376" s="160"/>
    </row>
    <row r="377" spans="1:24" ht="12.75" hidden="1" customHeight="1">
      <c r="A377" s="173">
        <v>300010558</v>
      </c>
      <c r="B377" s="177" t="s">
        <v>232</v>
      </c>
      <c r="C377" s="135" t="str">
        <f t="shared" si="47"/>
        <v>300010558-וויליפוד ביטחון</v>
      </c>
      <c r="D377" s="178" t="s">
        <v>979</v>
      </c>
      <c r="E377" s="114"/>
      <c r="F377" s="179" t="s">
        <v>600</v>
      </c>
      <c r="G377" s="178" t="s">
        <v>601</v>
      </c>
      <c r="I377" s="117"/>
      <c r="J377" s="180" t="s">
        <v>139</v>
      </c>
      <c r="K377" s="259">
        <v>33000</v>
      </c>
      <c r="L377" s="257" t="s">
        <v>151</v>
      </c>
      <c r="M377" s="258"/>
      <c r="W377" s="160"/>
      <c r="X377" s="160"/>
    </row>
    <row r="378" spans="1:24" ht="12.75" customHeight="1">
      <c r="A378" s="173">
        <v>300010559</v>
      </c>
      <c r="B378" s="177" t="s">
        <v>980</v>
      </c>
      <c r="C378" s="135" t="str">
        <f t="shared" si="47"/>
        <v>300010559-בית אמרון</v>
      </c>
      <c r="D378" s="178" t="s">
        <v>979</v>
      </c>
      <c r="E378" s="114"/>
      <c r="F378" s="179" t="s">
        <v>274</v>
      </c>
      <c r="G378" s="178" t="s">
        <v>981</v>
      </c>
      <c r="I378" s="117"/>
      <c r="J378" s="180" t="s">
        <v>154</v>
      </c>
      <c r="K378" s="259">
        <v>67000</v>
      </c>
      <c r="L378" s="257" t="s">
        <v>295</v>
      </c>
      <c r="M378" s="258"/>
      <c r="W378" s="160"/>
      <c r="X378" s="160"/>
    </row>
    <row r="379" spans="1:24" ht="12.75" customHeight="1">
      <c r="A379" s="173">
        <v>300010560</v>
      </c>
      <c r="B379" s="177" t="s">
        <v>982</v>
      </c>
      <c r="C379" s="135" t="str">
        <f t="shared" si="47"/>
        <v>300010560-אנבידיה מבוא כרמל</v>
      </c>
      <c r="D379" s="178">
        <v>46064</v>
      </c>
      <c r="E379" s="114"/>
      <c r="F379" s="179" t="s">
        <v>199</v>
      </c>
      <c r="G379" s="178" t="s">
        <v>983</v>
      </c>
      <c r="I379" s="117"/>
      <c r="J379" s="180" t="s">
        <v>154</v>
      </c>
      <c r="K379" s="259">
        <v>77164</v>
      </c>
      <c r="L379" s="257" t="s">
        <v>295</v>
      </c>
      <c r="M379" s="258"/>
      <c r="W379" s="160"/>
      <c r="X379" s="160"/>
    </row>
    <row r="380" spans="1:24" ht="12.75" customHeight="1">
      <c r="A380" s="173">
        <v>300010561</v>
      </c>
      <c r="B380" s="177" t="s">
        <v>984</v>
      </c>
      <c r="C380" s="135" t="str">
        <f t="shared" si="47"/>
        <v>300010561-תחנת רוטנברג - שוב אש</v>
      </c>
      <c r="D380" s="178">
        <v>46064</v>
      </c>
      <c r="E380" s="114"/>
      <c r="F380" s="179" t="s">
        <v>107</v>
      </c>
      <c r="G380" s="178" t="s">
        <v>985</v>
      </c>
      <c r="I380" s="117"/>
      <c r="J380" s="180" t="s">
        <v>154</v>
      </c>
      <c r="K380" s="259">
        <v>92848</v>
      </c>
      <c r="L380" s="257" t="s">
        <v>295</v>
      </c>
      <c r="M380" s="258" t="s">
        <v>986</v>
      </c>
      <c r="W380" s="160"/>
      <c r="X380" s="160"/>
    </row>
    <row r="381" spans="1:24" ht="12.75" customHeight="1">
      <c r="A381" s="173">
        <v>300010562</v>
      </c>
      <c r="B381" s="177" t="s">
        <v>987</v>
      </c>
      <c r="C381" s="135" t="str">
        <f t="shared" si="47"/>
        <v>300010562-טאליס - זהב מעבדות</v>
      </c>
      <c r="D381" s="178">
        <v>46065</v>
      </c>
      <c r="E381" s="114"/>
      <c r="F381" s="179" t="s">
        <v>204</v>
      </c>
      <c r="G381" s="178" t="s">
        <v>911</v>
      </c>
      <c r="I381" s="117"/>
      <c r="J381" s="180" t="s">
        <v>108</v>
      </c>
      <c r="K381" s="259">
        <v>44755</v>
      </c>
      <c r="L381" s="257" t="s">
        <v>295</v>
      </c>
      <c r="M381" s="258"/>
      <c r="W381" s="160"/>
      <c r="X381" s="160"/>
    </row>
    <row r="382" spans="1:24" ht="12.75" customHeight="1">
      <c r="A382" s="173">
        <v>300010563</v>
      </c>
      <c r="B382" s="177" t="s">
        <v>988</v>
      </c>
      <c r="C382" s="135" t="str">
        <f t="shared" si="47"/>
        <v>300010563-איילון ביטוח</v>
      </c>
      <c r="D382" s="178">
        <v>46070</v>
      </c>
      <c r="E382" s="114"/>
      <c r="F382" s="179" t="s">
        <v>196</v>
      </c>
      <c r="G382" s="178" t="s">
        <v>332</v>
      </c>
      <c r="I382" s="117"/>
      <c r="J382" s="180" t="s">
        <v>154</v>
      </c>
      <c r="K382" s="259">
        <v>56146</v>
      </c>
      <c r="L382" s="257" t="s">
        <v>295</v>
      </c>
      <c r="M382" s="258"/>
      <c r="W382" s="160"/>
      <c r="X382" s="160"/>
    </row>
    <row r="383" spans="1:24" ht="12.75" customHeight="1">
      <c r="A383" s="173">
        <v>300010564</v>
      </c>
      <c r="B383" s="177" t="s">
        <v>989</v>
      </c>
      <c r="C383" s="135" t="str">
        <f t="shared" si="47"/>
        <v>300010564- מדיקל סנטר</v>
      </c>
      <c r="D383" s="178">
        <v>46085</v>
      </c>
      <c r="E383" s="114"/>
      <c r="F383" s="179" t="s">
        <v>107</v>
      </c>
      <c r="G383" s="178" t="s">
        <v>990</v>
      </c>
      <c r="I383" s="117"/>
      <c r="J383" s="180" t="s">
        <v>139</v>
      </c>
      <c r="K383" s="259">
        <v>120000</v>
      </c>
      <c r="L383" s="257" t="s">
        <v>225</v>
      </c>
      <c r="M383" s="258"/>
      <c r="W383" s="160"/>
      <c r="X383" s="160"/>
    </row>
    <row r="384" spans="1:24" ht="12.75" customHeight="1">
      <c r="A384" s="173">
        <v>300010565</v>
      </c>
      <c r="B384" s="177" t="s">
        <v>991</v>
      </c>
      <c r="C384" s="135" t="str">
        <f t="shared" ref="C384:C416" si="48">A384&amp;"-"&amp;B384</f>
        <v>300010565-מערכת גילוי אש</v>
      </c>
      <c r="D384" s="178">
        <v>46086</v>
      </c>
      <c r="E384" s="114"/>
      <c r="F384" s="179" t="s">
        <v>274</v>
      </c>
      <c r="G384" s="178" t="s">
        <v>981</v>
      </c>
      <c r="I384" s="117"/>
      <c r="J384" s="180" t="s">
        <v>154</v>
      </c>
      <c r="K384" s="259">
        <v>500000</v>
      </c>
      <c r="L384" s="257" t="s">
        <v>295</v>
      </c>
      <c r="M384" s="258"/>
      <c r="W384" s="160"/>
      <c r="X384" s="160"/>
    </row>
    <row r="385" spans="1:24" ht="12.75" customHeight="1">
      <c r="A385" s="173">
        <v>300010566</v>
      </c>
      <c r="B385" s="177" t="s">
        <v>992</v>
      </c>
      <c r="C385" s="135" t="str">
        <f t="shared" si="48"/>
        <v>300010566-מטרו צילה</v>
      </c>
      <c r="D385" s="178">
        <v>46090</v>
      </c>
      <c r="E385" s="114"/>
      <c r="F385" s="179" t="s">
        <v>107</v>
      </c>
      <c r="G385" s="178" t="s">
        <v>993</v>
      </c>
      <c r="I385" s="117"/>
      <c r="J385" s="180" t="s">
        <v>139</v>
      </c>
      <c r="K385" s="259"/>
      <c r="L385" s="257"/>
      <c r="M385" s="258"/>
      <c r="W385" s="160"/>
      <c r="X385" s="160"/>
    </row>
    <row r="386" spans="1:24" ht="12.75" customHeight="1">
      <c r="A386" s="173">
        <v>300010567</v>
      </c>
      <c r="B386" s="177" t="s">
        <v>994</v>
      </c>
      <c r="C386" s="135" t="str">
        <f t="shared" si="48"/>
        <v>300010567-גב ים שו"ב אש הרצליה</v>
      </c>
      <c r="D386" s="178">
        <v>46091</v>
      </c>
      <c r="E386" s="114"/>
      <c r="F386" s="179" t="s">
        <v>196</v>
      </c>
      <c r="G386" s="178" t="s">
        <v>332</v>
      </c>
      <c r="I386" s="117"/>
      <c r="J386" s="180" t="s">
        <v>154</v>
      </c>
      <c r="K386" s="259">
        <v>8070</v>
      </c>
      <c r="L386" s="257" t="s">
        <v>151</v>
      </c>
      <c r="M386" s="258" t="s">
        <v>995</v>
      </c>
      <c r="W386" s="160"/>
      <c r="X386" s="160"/>
    </row>
    <row r="387" spans="1:24" ht="12.75" customHeight="1">
      <c r="A387" s="173">
        <v>300010568</v>
      </c>
      <c r="B387" s="177" t="s">
        <v>996</v>
      </c>
      <c r="C387" s="135" t="str">
        <f t="shared" si="48"/>
        <v>300010568-מהרסים שו"ב</v>
      </c>
      <c r="D387" s="178">
        <v>46096</v>
      </c>
      <c r="E387" s="114"/>
      <c r="F387" s="179" t="s">
        <v>150</v>
      </c>
      <c r="G387" s="178" t="s">
        <v>579</v>
      </c>
      <c r="I387" s="117"/>
      <c r="J387" s="180" t="s">
        <v>139</v>
      </c>
      <c r="K387" s="259"/>
      <c r="L387" s="257"/>
      <c r="M387" s="258"/>
      <c r="W387" s="160"/>
      <c r="X387" s="160"/>
    </row>
    <row r="388" spans="1:24" ht="12.75" customHeight="1">
      <c r="A388" s="173">
        <v>300010569</v>
      </c>
      <c r="B388" s="177" t="s">
        <v>997</v>
      </c>
      <c r="C388" s="135" t="str">
        <f t="shared" si="48"/>
        <v>300010569-לאומי קול - ראשון לציון</v>
      </c>
      <c r="D388" s="178">
        <v>46100</v>
      </c>
      <c r="E388" s="114"/>
      <c r="F388" s="179" t="s">
        <v>107</v>
      </c>
      <c r="G388" s="178" t="s">
        <v>998</v>
      </c>
      <c r="I388" s="117"/>
      <c r="J388" s="180" t="s">
        <v>102</v>
      </c>
      <c r="K388" s="259">
        <v>259627</v>
      </c>
      <c r="L388" s="257" t="s">
        <v>295</v>
      </c>
      <c r="M388" s="258"/>
      <c r="W388" s="160"/>
      <c r="X388" s="160"/>
    </row>
    <row r="389" spans="1:24" ht="12.75" customHeight="1">
      <c r="A389" s="173">
        <v>300010570</v>
      </c>
      <c r="B389" s="177" t="s">
        <v>999</v>
      </c>
      <c r="C389" s="135" t="str">
        <f t="shared" si="48"/>
        <v>300010570-זימון מבקרים - תחנת אשלים בנגב</v>
      </c>
      <c r="D389" s="178">
        <v>46100</v>
      </c>
      <c r="E389" s="114"/>
      <c r="F389" s="179" t="s">
        <v>207</v>
      </c>
      <c r="G389" s="178" t="s">
        <v>338</v>
      </c>
      <c r="I389" s="117"/>
      <c r="J389" s="180" t="s">
        <v>303</v>
      </c>
      <c r="K389" s="259">
        <v>116682</v>
      </c>
      <c r="L389" s="257" t="s">
        <v>295</v>
      </c>
      <c r="M389" s="258"/>
      <c r="W389" s="160"/>
      <c r="X389" s="160"/>
    </row>
    <row r="390" spans="1:24" ht="12.75" customHeight="1">
      <c r="A390" s="173">
        <v>300010571</v>
      </c>
      <c r="B390" s="177" t="s">
        <v>1000</v>
      </c>
      <c r="C390" s="135" t="str">
        <f t="shared" si="48"/>
        <v>300010571-טמפו יקום</v>
      </c>
      <c r="D390" s="178">
        <v>46106</v>
      </c>
      <c r="E390" s="114"/>
      <c r="F390" s="179" t="s">
        <v>120</v>
      </c>
      <c r="G390" s="178" t="s">
        <v>498</v>
      </c>
      <c r="I390" s="117"/>
      <c r="J390" s="180" t="s">
        <v>139</v>
      </c>
      <c r="K390" s="259">
        <v>300000</v>
      </c>
      <c r="L390" s="257" t="s">
        <v>295</v>
      </c>
      <c r="M390" s="258"/>
      <c r="W390" s="160"/>
      <c r="X390" s="160"/>
    </row>
    <row r="391" spans="1:24" ht="12.75" customHeight="1">
      <c r="A391" s="173">
        <v>300010572</v>
      </c>
      <c r="B391" s="177" t="s">
        <v>1001</v>
      </c>
      <c r="C391" s="135" t="str">
        <f t="shared" si="48"/>
        <v>300010572-אלביט גבולות</v>
      </c>
      <c r="D391" s="178">
        <v>46106</v>
      </c>
      <c r="E391" s="114"/>
      <c r="F391" s="179" t="s">
        <v>176</v>
      </c>
      <c r="G391" s="178" t="s">
        <v>1002</v>
      </c>
      <c r="I391" s="117"/>
      <c r="J391" s="180" t="s">
        <v>139</v>
      </c>
      <c r="K391" s="259">
        <v>970000</v>
      </c>
      <c r="L391" s="257" t="s">
        <v>295</v>
      </c>
      <c r="M391" s="258"/>
      <c r="W391" s="160"/>
      <c r="X391" s="160"/>
    </row>
    <row r="392" spans="1:24" ht="12.75" customHeight="1">
      <c r="A392" s="173">
        <v>300010573</v>
      </c>
      <c r="B392" s="177" t="s">
        <v>1003</v>
      </c>
      <c r="C392" s="135" t="str">
        <f t="shared" si="48"/>
        <v>300010573-מערכת ניהול מבקרים NESS</v>
      </c>
      <c r="D392" s="178">
        <v>46106</v>
      </c>
      <c r="E392" s="114"/>
      <c r="F392" s="179" t="s">
        <v>107</v>
      </c>
      <c r="G392" s="178" t="s">
        <v>985</v>
      </c>
      <c r="I392" s="117"/>
      <c r="J392" s="180" t="s">
        <v>303</v>
      </c>
      <c r="K392" s="259">
        <v>126717</v>
      </c>
      <c r="L392" s="257" t="s">
        <v>295</v>
      </c>
      <c r="M392" s="258"/>
      <c r="W392" s="160"/>
      <c r="X392" s="160"/>
    </row>
    <row r="393" spans="1:24" ht="12.75" customHeight="1">
      <c r="A393" s="173">
        <v>300010574</v>
      </c>
      <c r="B393" s="177" t="s">
        <v>1004</v>
      </c>
      <c r="C393" s="135" t="str">
        <f t="shared" si="48"/>
        <v>300010574-כרמים סנטר אשקלון</v>
      </c>
      <c r="D393" s="178">
        <v>46106</v>
      </c>
      <c r="E393" s="114"/>
      <c r="F393" s="179" t="s">
        <v>107</v>
      </c>
      <c r="G393" s="178" t="s">
        <v>103</v>
      </c>
      <c r="I393" s="117"/>
      <c r="J393" s="180" t="s">
        <v>102</v>
      </c>
      <c r="K393" s="259">
        <v>314951</v>
      </c>
      <c r="L393" s="257" t="s">
        <v>295</v>
      </c>
      <c r="M393" s="258"/>
      <c r="W393" s="160"/>
      <c r="X393" s="160"/>
    </row>
    <row r="394" spans="1:24" ht="12.75" customHeight="1">
      <c r="A394" s="173">
        <v>300010575</v>
      </c>
      <c r="B394" s="177" t="s">
        <v>1005</v>
      </c>
      <c r="C394" s="135" t="str">
        <f t="shared" si="48"/>
        <v>300010575-מיתר</v>
      </c>
      <c r="D394" s="178">
        <v>46121</v>
      </c>
      <c r="E394" s="114"/>
      <c r="F394" s="179" t="s">
        <v>112</v>
      </c>
      <c r="G394" s="178" t="s">
        <v>1006</v>
      </c>
      <c r="I394" s="117"/>
      <c r="J394" s="180" t="s">
        <v>139</v>
      </c>
      <c r="K394" s="259">
        <v>50000</v>
      </c>
      <c r="L394" s="257" t="s">
        <v>295</v>
      </c>
      <c r="M394" s="258"/>
      <c r="W394" s="160"/>
      <c r="X394" s="160"/>
    </row>
    <row r="395" spans="1:24" ht="12.75" customHeight="1">
      <c r="A395" s="173">
        <v>300010576</v>
      </c>
      <c r="B395" s="177"/>
      <c r="C395" s="135" t="str">
        <f t="shared" si="48"/>
        <v>300010576-</v>
      </c>
      <c r="D395" s="178"/>
      <c r="E395" s="114"/>
      <c r="F395" s="179"/>
      <c r="G395" s="178"/>
      <c r="I395" s="117"/>
      <c r="J395" s="180"/>
      <c r="K395" s="259"/>
      <c r="L395" s="257"/>
      <c r="M395" s="258"/>
      <c r="W395" s="160"/>
      <c r="X395" s="160"/>
    </row>
    <row r="396" spans="1:24" ht="12.75" customHeight="1">
      <c r="A396" s="173">
        <v>300010577</v>
      </c>
      <c r="B396" s="177"/>
      <c r="C396" s="135" t="str">
        <f t="shared" si="48"/>
        <v>300010577-</v>
      </c>
      <c r="D396" s="178"/>
      <c r="E396" s="114"/>
      <c r="F396" s="179"/>
      <c r="G396" s="178"/>
      <c r="I396" s="117"/>
      <c r="J396" s="180"/>
      <c r="K396" s="259"/>
      <c r="L396" s="257"/>
      <c r="M396" s="258"/>
      <c r="W396" s="160"/>
      <c r="X396" s="160"/>
    </row>
    <row r="397" spans="1:24" ht="12.75" customHeight="1">
      <c r="A397" s="173">
        <v>300010578</v>
      </c>
      <c r="B397" s="177"/>
      <c r="C397" s="135" t="str">
        <f t="shared" si="48"/>
        <v>300010578-</v>
      </c>
      <c r="D397" s="178"/>
      <c r="E397" s="114"/>
      <c r="F397" s="179"/>
      <c r="G397" s="178"/>
      <c r="I397" s="117"/>
      <c r="J397" s="180"/>
      <c r="K397" s="259"/>
      <c r="L397" s="257"/>
      <c r="M397" s="258"/>
      <c r="W397" s="160"/>
      <c r="X397" s="160"/>
    </row>
    <row r="398" spans="1:24" ht="12.75" customHeight="1">
      <c r="A398" s="173">
        <v>300010579</v>
      </c>
      <c r="B398" s="177"/>
      <c r="C398" s="135" t="str">
        <f t="shared" si="48"/>
        <v>300010579-</v>
      </c>
      <c r="D398" s="178"/>
      <c r="E398" s="114"/>
      <c r="F398" s="179"/>
      <c r="G398" s="178"/>
      <c r="I398" s="117"/>
      <c r="J398" s="180"/>
      <c r="K398" s="259"/>
      <c r="L398" s="257"/>
      <c r="M398" s="258"/>
      <c r="W398" s="160"/>
      <c r="X398" s="160"/>
    </row>
    <row r="399" spans="1:24" ht="12.75" customHeight="1">
      <c r="A399" s="173">
        <v>300010580</v>
      </c>
      <c r="B399" s="177"/>
      <c r="C399" s="135" t="str">
        <f t="shared" si="48"/>
        <v>300010580-</v>
      </c>
      <c r="D399" s="178"/>
      <c r="E399" s="114"/>
      <c r="F399" s="179"/>
      <c r="G399" s="178"/>
      <c r="I399" s="117"/>
      <c r="J399" s="180"/>
      <c r="K399" s="259"/>
      <c r="L399" s="257"/>
      <c r="M399" s="258"/>
      <c r="W399" s="160"/>
      <c r="X399" s="160"/>
    </row>
    <row r="400" spans="1:24" ht="12.75" customHeight="1">
      <c r="A400" s="173">
        <v>300010581</v>
      </c>
      <c r="B400" s="177"/>
      <c r="C400" s="135" t="str">
        <f t="shared" si="48"/>
        <v>300010581-</v>
      </c>
      <c r="D400" s="178"/>
      <c r="E400" s="114"/>
      <c r="F400" s="179"/>
      <c r="G400" s="178"/>
      <c r="I400" s="117"/>
      <c r="J400" s="180"/>
      <c r="K400" s="259"/>
      <c r="L400" s="257"/>
      <c r="M400" s="258"/>
      <c r="W400" s="160"/>
      <c r="X400" s="160"/>
    </row>
    <row r="401" spans="1:24" ht="12.75" customHeight="1">
      <c r="A401" s="173">
        <v>300010582</v>
      </c>
      <c r="B401" s="177"/>
      <c r="C401" s="135" t="str">
        <f t="shared" si="48"/>
        <v>300010582-</v>
      </c>
      <c r="D401" s="178"/>
      <c r="E401" s="114"/>
      <c r="F401" s="179"/>
      <c r="G401" s="178"/>
      <c r="I401" s="117"/>
      <c r="J401" s="180"/>
      <c r="K401" s="259"/>
      <c r="L401" s="257"/>
      <c r="M401" s="258"/>
      <c r="W401" s="160"/>
      <c r="X401" s="160"/>
    </row>
    <row r="402" spans="1:24" ht="12.75" customHeight="1">
      <c r="A402" s="173">
        <v>300010583</v>
      </c>
      <c r="B402" s="177"/>
      <c r="C402" s="135" t="str">
        <f t="shared" si="48"/>
        <v>300010583-</v>
      </c>
      <c r="D402" s="178"/>
      <c r="E402" s="114"/>
      <c r="F402" s="179"/>
      <c r="G402" s="178"/>
      <c r="I402" s="117"/>
      <c r="J402" s="180"/>
      <c r="K402" s="259"/>
      <c r="L402" s="257"/>
      <c r="M402" s="258"/>
      <c r="W402" s="160"/>
      <c r="X402" s="160"/>
    </row>
    <row r="403" spans="1:24" ht="12.75" customHeight="1">
      <c r="A403" s="173">
        <v>300010584</v>
      </c>
      <c r="B403" s="177"/>
      <c r="C403" s="135" t="str">
        <f t="shared" si="48"/>
        <v>300010584-</v>
      </c>
      <c r="D403" s="178"/>
      <c r="E403" s="114"/>
      <c r="F403" s="179"/>
      <c r="G403" s="178"/>
      <c r="I403" s="117"/>
      <c r="J403" s="180"/>
      <c r="K403" s="259"/>
      <c r="L403" s="257"/>
      <c r="M403" s="258"/>
      <c r="W403" s="160"/>
      <c r="X403" s="160"/>
    </row>
    <row r="404" spans="1:24" ht="12.75" customHeight="1">
      <c r="A404" s="173">
        <v>300010585</v>
      </c>
      <c r="B404" s="177"/>
      <c r="C404" s="135" t="str">
        <f t="shared" si="48"/>
        <v>300010585-</v>
      </c>
      <c r="D404" s="178"/>
      <c r="E404" s="114"/>
      <c r="F404" s="179"/>
      <c r="G404" s="178"/>
      <c r="I404" s="117"/>
      <c r="J404" s="180"/>
      <c r="K404" s="259"/>
      <c r="L404" s="257"/>
      <c r="M404" s="258"/>
      <c r="W404" s="160"/>
      <c r="X404" s="160"/>
    </row>
    <row r="405" spans="1:24" ht="12.75" customHeight="1">
      <c r="A405" s="173">
        <v>300010586</v>
      </c>
      <c r="B405" s="177"/>
      <c r="C405" s="135" t="str">
        <f t="shared" si="48"/>
        <v>300010586-</v>
      </c>
      <c r="D405" s="178"/>
      <c r="E405" s="114"/>
      <c r="F405" s="179"/>
      <c r="G405" s="178"/>
      <c r="I405" s="117"/>
      <c r="J405" s="180"/>
      <c r="K405" s="259"/>
      <c r="L405" s="257"/>
      <c r="M405" s="258"/>
      <c r="W405" s="160"/>
      <c r="X405" s="160"/>
    </row>
    <row r="406" spans="1:24" ht="12.75" customHeight="1">
      <c r="A406" s="173">
        <v>300010587</v>
      </c>
      <c r="B406" s="177"/>
      <c r="C406" s="135" t="str">
        <f t="shared" si="48"/>
        <v>300010587-</v>
      </c>
      <c r="D406" s="178"/>
      <c r="E406" s="114"/>
      <c r="F406" s="179"/>
      <c r="G406" s="178"/>
      <c r="I406" s="117"/>
      <c r="J406" s="180"/>
      <c r="K406" s="259"/>
      <c r="L406" s="257"/>
      <c r="M406" s="258"/>
      <c r="W406" s="160"/>
      <c r="X406" s="160"/>
    </row>
    <row r="407" spans="1:24" ht="12.75" customHeight="1">
      <c r="A407" s="173">
        <v>300010588</v>
      </c>
      <c r="B407" s="177"/>
      <c r="C407" s="135" t="str">
        <f t="shared" si="48"/>
        <v>300010588-</v>
      </c>
      <c r="D407" s="178"/>
      <c r="E407" s="114"/>
      <c r="F407" s="179"/>
      <c r="G407" s="178"/>
      <c r="I407" s="117"/>
      <c r="J407" s="180"/>
      <c r="K407" s="259"/>
      <c r="L407" s="257"/>
      <c r="M407" s="258"/>
      <c r="W407" s="160"/>
      <c r="X407" s="160"/>
    </row>
    <row r="408" spans="1:24" ht="12.75" customHeight="1">
      <c r="A408" s="173">
        <v>300010589</v>
      </c>
      <c r="B408" s="177"/>
      <c r="C408" s="135" t="str">
        <f t="shared" si="48"/>
        <v>300010589-</v>
      </c>
      <c r="D408" s="178"/>
      <c r="E408" s="114"/>
      <c r="F408" s="179"/>
      <c r="G408" s="178"/>
      <c r="I408" s="117"/>
      <c r="J408" s="180"/>
      <c r="K408" s="259"/>
      <c r="L408" s="257"/>
      <c r="M408" s="258"/>
      <c r="W408" s="160"/>
      <c r="X408" s="160"/>
    </row>
    <row r="409" spans="1:24" ht="12.75" customHeight="1">
      <c r="A409" s="173">
        <v>300010590</v>
      </c>
      <c r="B409" s="177"/>
      <c r="C409" s="135" t="str">
        <f t="shared" si="48"/>
        <v>300010590-</v>
      </c>
      <c r="D409" s="178"/>
      <c r="E409" s="114"/>
      <c r="F409" s="179"/>
      <c r="G409" s="178"/>
      <c r="I409" s="117"/>
      <c r="J409" s="180"/>
      <c r="K409" s="259"/>
      <c r="L409" s="257"/>
      <c r="M409" s="258"/>
      <c r="W409" s="160"/>
      <c r="X409" s="160"/>
    </row>
    <row r="410" spans="1:24" ht="12.75" customHeight="1">
      <c r="A410" s="173">
        <v>300010590</v>
      </c>
      <c r="B410" s="177"/>
      <c r="C410" s="135" t="str">
        <f t="shared" si="48"/>
        <v>300010590-</v>
      </c>
      <c r="D410" s="178"/>
      <c r="E410" s="114"/>
      <c r="F410" s="179"/>
      <c r="G410" s="178"/>
      <c r="I410" s="117"/>
      <c r="J410" s="180"/>
      <c r="K410" s="259"/>
      <c r="L410" s="257"/>
      <c r="M410" s="258"/>
      <c r="W410" s="160"/>
      <c r="X410" s="160"/>
    </row>
    <row r="411" spans="1:24" ht="12.75" customHeight="1">
      <c r="A411" s="173">
        <v>300010591</v>
      </c>
      <c r="B411" s="177"/>
      <c r="C411" s="135" t="str">
        <f t="shared" si="48"/>
        <v>300010591-</v>
      </c>
      <c r="D411" s="178"/>
      <c r="E411" s="114"/>
      <c r="F411" s="179"/>
      <c r="G411" s="178"/>
      <c r="I411" s="117"/>
      <c r="J411" s="180"/>
      <c r="K411" s="259"/>
      <c r="L411" s="257"/>
      <c r="M411" s="258"/>
      <c r="W411" s="160"/>
      <c r="X411" s="160"/>
    </row>
    <row r="412" spans="1:24" ht="12.75" customHeight="1">
      <c r="A412" s="173">
        <v>300010592</v>
      </c>
      <c r="B412" s="177"/>
      <c r="C412" s="135" t="str">
        <f t="shared" si="48"/>
        <v>300010592-</v>
      </c>
      <c r="D412" s="178"/>
      <c r="E412" s="114"/>
      <c r="F412" s="179"/>
      <c r="G412" s="178"/>
      <c r="I412" s="117"/>
      <c r="J412" s="180"/>
      <c r="K412" s="259"/>
      <c r="L412" s="257"/>
      <c r="M412" s="258"/>
      <c r="W412" s="160"/>
      <c r="X412" s="160"/>
    </row>
    <row r="413" spans="1:24" ht="12.75" customHeight="1">
      <c r="A413" s="173">
        <v>300010593</v>
      </c>
      <c r="B413" s="177"/>
      <c r="C413" s="135" t="str">
        <f t="shared" si="48"/>
        <v>300010593-</v>
      </c>
      <c r="D413" s="178"/>
      <c r="E413" s="114"/>
      <c r="F413" s="179"/>
      <c r="G413" s="178"/>
      <c r="I413" s="117"/>
      <c r="J413" s="180"/>
      <c r="K413" s="259"/>
      <c r="L413" s="257"/>
      <c r="M413" s="258"/>
      <c r="W413" s="160"/>
      <c r="X413" s="160"/>
    </row>
    <row r="414" spans="1:24" ht="12.75" customHeight="1">
      <c r="A414" s="173">
        <v>300010594</v>
      </c>
      <c r="B414" s="177"/>
      <c r="C414" s="135" t="str">
        <f t="shared" si="48"/>
        <v>300010594-</v>
      </c>
      <c r="D414" s="178"/>
      <c r="E414" s="114"/>
      <c r="F414" s="179"/>
      <c r="G414" s="178"/>
      <c r="I414" s="117"/>
      <c r="J414" s="180"/>
      <c r="K414" s="259"/>
      <c r="L414" s="257"/>
      <c r="M414" s="258"/>
      <c r="W414" s="160"/>
      <c r="X414" s="160"/>
    </row>
    <row r="415" spans="1:24" ht="12.75" customHeight="1">
      <c r="A415" s="173">
        <v>300010595</v>
      </c>
      <c r="B415" s="177"/>
      <c r="C415" s="135" t="str">
        <f t="shared" si="48"/>
        <v>300010595-</v>
      </c>
      <c r="D415" s="178"/>
      <c r="E415" s="114"/>
      <c r="F415" s="179"/>
      <c r="G415" s="178"/>
      <c r="I415" s="117"/>
      <c r="J415" s="180"/>
      <c r="K415" s="259"/>
      <c r="L415" s="257"/>
      <c r="M415" s="258"/>
      <c r="W415" s="160"/>
      <c r="X415" s="160"/>
    </row>
    <row r="416" spans="1:24" ht="12.75" customHeight="1">
      <c r="A416" s="173">
        <v>300010596</v>
      </c>
      <c r="B416" s="177"/>
      <c r="C416" s="135" t="str">
        <f t="shared" si="48"/>
        <v>300010596-</v>
      </c>
      <c r="D416" s="178"/>
      <c r="E416" s="114"/>
      <c r="F416" s="179"/>
      <c r="G416" s="178"/>
      <c r="I416" s="117"/>
      <c r="J416" s="180"/>
      <c r="K416" s="259"/>
      <c r="L416" s="257"/>
      <c r="M416" s="258"/>
      <c r="W416" s="160"/>
      <c r="X416" s="160"/>
    </row>
    <row r="417" spans="13:13" ht="15" customHeight="1">
      <c r="M417" s="258"/>
    </row>
    <row r="418" spans="13:13" ht="15" customHeight="1">
      <c r="M418" s="258"/>
    </row>
    <row r="442" spans="2:12" ht="12.75" customHeight="1">
      <c r="B442" s="63" t="s">
        <v>139</v>
      </c>
      <c r="C442" s="63"/>
      <c r="D442" s="63" t="s">
        <v>107</v>
      </c>
      <c r="E442" s="63"/>
      <c r="F442" s="77"/>
      <c r="G442" s="63"/>
      <c r="H442" s="63"/>
      <c r="I442" s="78"/>
      <c r="J442" s="63" t="s">
        <v>294</v>
      </c>
      <c r="K442" s="79" t="s">
        <v>1007</v>
      </c>
      <c r="L442" s="63" t="s">
        <v>301</v>
      </c>
    </row>
    <row r="443" spans="2:12" ht="12.75" customHeight="1">
      <c r="B443" s="63" t="s">
        <v>108</v>
      </c>
      <c r="C443" s="63"/>
      <c r="D443" s="63" t="s">
        <v>144</v>
      </c>
      <c r="E443" s="63"/>
      <c r="F443" s="77"/>
      <c r="G443" s="63"/>
      <c r="H443" s="63"/>
      <c r="I443" s="78"/>
      <c r="J443" s="63" t="s">
        <v>295</v>
      </c>
      <c r="L443" s="63" t="s">
        <v>40</v>
      </c>
    </row>
    <row r="444" spans="2:12" ht="12.75" customHeight="1">
      <c r="B444" s="63" t="s">
        <v>102</v>
      </c>
      <c r="C444" s="63"/>
      <c r="D444" s="63" t="s">
        <v>147</v>
      </c>
      <c r="E444" s="63"/>
      <c r="F444" s="77"/>
      <c r="G444" s="63"/>
      <c r="H444" s="63"/>
      <c r="I444" s="78"/>
      <c r="J444" s="63" t="s">
        <v>296</v>
      </c>
    </row>
    <row r="445" spans="2:12" ht="12.75" customHeight="1">
      <c r="B445" s="63" t="s">
        <v>227</v>
      </c>
      <c r="C445" s="63"/>
      <c r="D445" s="63" t="s">
        <v>112</v>
      </c>
      <c r="E445" s="63"/>
      <c r="F445" s="77"/>
      <c r="G445" s="63"/>
      <c r="H445" s="63"/>
      <c r="I445" s="78"/>
      <c r="J445" s="63" t="s">
        <v>225</v>
      </c>
    </row>
    <row r="446" spans="2:12" ht="12.75" customHeight="1">
      <c r="B446" s="63" t="s">
        <v>303</v>
      </c>
      <c r="C446" s="63"/>
      <c r="D446" s="63" t="s">
        <v>124</v>
      </c>
      <c r="E446" s="63"/>
      <c r="F446" s="77"/>
      <c r="G446" s="63"/>
      <c r="H446" s="63"/>
      <c r="I446" s="78"/>
      <c r="J446" s="63" t="s">
        <v>151</v>
      </c>
    </row>
    <row r="447" spans="2:12" ht="12.75" customHeight="1">
      <c r="B447" s="63" t="s">
        <v>154</v>
      </c>
      <c r="C447" s="63"/>
      <c r="D447" s="63" t="s">
        <v>1008</v>
      </c>
      <c r="E447" s="63"/>
      <c r="F447" s="77"/>
      <c r="G447" s="63"/>
      <c r="H447" s="63"/>
      <c r="I447" s="78"/>
      <c r="J447" s="63" t="s">
        <v>297</v>
      </c>
    </row>
    <row r="448" spans="2:12" ht="12.75" customHeight="1">
      <c r="D448" s="63" t="s">
        <v>967</v>
      </c>
      <c r="E448" s="63"/>
      <c r="F448" s="77"/>
      <c r="G448" s="63"/>
      <c r="H448" s="63"/>
      <c r="I448" s="78"/>
      <c r="J448" s="63"/>
    </row>
    <row r="449" spans="4:9" ht="12.75" customHeight="1">
      <c r="D449" s="63" t="s">
        <v>269</v>
      </c>
      <c r="E449" s="63"/>
      <c r="F449" s="77"/>
      <c r="G449" s="63"/>
      <c r="H449" s="63"/>
      <c r="I449" s="78"/>
    </row>
    <row r="450" spans="4:9" ht="12.75" customHeight="1">
      <c r="D450" s="63" t="s">
        <v>101</v>
      </c>
      <c r="E450" s="63"/>
      <c r="F450" s="75"/>
      <c r="I450" s="76"/>
    </row>
    <row r="451" spans="4:9" ht="12.75" customHeight="1">
      <c r="D451" s="63" t="s">
        <v>196</v>
      </c>
      <c r="E451" s="63"/>
      <c r="F451" s="75"/>
      <c r="I451" s="76"/>
    </row>
    <row r="452" spans="4:9" ht="12.75" customHeight="1">
      <c r="D452" s="63" t="s">
        <v>710</v>
      </c>
      <c r="E452" s="63"/>
      <c r="F452" s="75"/>
      <c r="I452" s="76"/>
    </row>
    <row r="453" spans="4:9" ht="12.75" customHeight="1">
      <c r="D453" s="63" t="s">
        <v>207</v>
      </c>
      <c r="E453" s="63"/>
      <c r="F453" s="75"/>
      <c r="I453" s="76"/>
    </row>
    <row r="454" spans="4:9" ht="12.75" customHeight="1">
      <c r="D454" s="63" t="s">
        <v>150</v>
      </c>
      <c r="E454" s="63"/>
      <c r="F454" s="75"/>
      <c r="I454" s="76"/>
    </row>
    <row r="455" spans="4:9" ht="12.75" customHeight="1">
      <c r="D455" s="63" t="s">
        <v>199</v>
      </c>
      <c r="E455" s="63"/>
      <c r="F455" s="75"/>
      <c r="I455" s="76"/>
    </row>
    <row r="456" spans="4:9" ht="12.75" customHeight="1">
      <c r="D456" s="63" t="s">
        <v>476</v>
      </c>
      <c r="E456" s="63"/>
      <c r="F456" s="75"/>
      <c r="I456" s="76"/>
    </row>
    <row r="457" spans="4:9" ht="12.75" customHeight="1">
      <c r="D457" s="63" t="s">
        <v>271</v>
      </c>
      <c r="E457" s="63"/>
      <c r="F457" s="75"/>
      <c r="I457" s="76"/>
    </row>
    <row r="458" spans="4:9" ht="12.75" customHeight="1">
      <c r="D458" s="63" t="s">
        <v>120</v>
      </c>
      <c r="E458" s="63"/>
      <c r="F458" s="75"/>
      <c r="I458" s="76"/>
    </row>
    <row r="459" spans="4:9" ht="12.75" customHeight="1">
      <c r="D459" s="63" t="s">
        <v>188</v>
      </c>
      <c r="E459" s="63"/>
      <c r="F459" s="75"/>
      <c r="I459" s="76"/>
    </row>
    <row r="460" spans="4:9" ht="12.75" customHeight="1">
      <c r="D460" s="63" t="s">
        <v>272</v>
      </c>
    </row>
    <row r="461" spans="4:9" ht="12.75" customHeight="1">
      <c r="D461" s="63" t="s">
        <v>204</v>
      </c>
    </row>
    <row r="462" spans="4:9" ht="12.75" customHeight="1">
      <c r="D462" s="63" t="s">
        <v>273</v>
      </c>
    </row>
    <row r="463" spans="4:9" ht="12.75" customHeight="1">
      <c r="D463" s="63" t="s">
        <v>274</v>
      </c>
    </row>
    <row r="464" spans="4:9" ht="12.75" customHeight="1">
      <c r="D464" s="63" t="s">
        <v>329</v>
      </c>
    </row>
    <row r="465" spans="4:4" ht="12.75" customHeight="1">
      <c r="D465" s="63" t="s">
        <v>1009</v>
      </c>
    </row>
    <row r="466" spans="4:4" ht="12.75" customHeight="1">
      <c r="D466" s="63" t="s">
        <v>185</v>
      </c>
    </row>
    <row r="467" spans="4:4" ht="12.75" customHeight="1">
      <c r="D467" s="63" t="s">
        <v>506</v>
      </c>
    </row>
    <row r="468" spans="4:4" ht="12.75" customHeight="1">
      <c r="D468" s="63" t="s">
        <v>270</v>
      </c>
    </row>
    <row r="469" spans="4:4" ht="12.75" customHeight="1">
      <c r="D469" s="63" t="s">
        <v>1010</v>
      </c>
    </row>
    <row r="470" spans="4:4" ht="12.75" customHeight="1">
      <c r="D470" s="63" t="s">
        <v>1011</v>
      </c>
    </row>
    <row r="471" spans="4:4" ht="12.75" customHeight="1">
      <c r="D471" s="63" t="s">
        <v>266</v>
      </c>
    </row>
    <row r="472" spans="4:4" ht="12.75" customHeight="1">
      <c r="D472" s="63" t="s">
        <v>600</v>
      </c>
    </row>
    <row r="473" spans="4:4" ht="12.75" customHeight="1">
      <c r="D473" s="63" t="s">
        <v>1012</v>
      </c>
    </row>
    <row r="474" spans="4:4" ht="12.75" customHeight="1">
      <c r="D474" s="63" t="s">
        <v>1013</v>
      </c>
    </row>
    <row r="475" spans="4:4" ht="12.75" customHeight="1">
      <c r="D475" s="63" t="s">
        <v>1014</v>
      </c>
    </row>
    <row r="476" spans="4:4" ht="12.75" customHeight="1">
      <c r="D476" s="63" t="s">
        <v>135</v>
      </c>
    </row>
    <row r="477" spans="4:4" ht="12.75" customHeight="1">
      <c r="D477" s="63" t="s">
        <v>524</v>
      </c>
    </row>
    <row r="478" spans="4:4" ht="12.75" customHeight="1">
      <c r="D478" s="63" t="s">
        <v>1015</v>
      </c>
    </row>
    <row r="479" spans="4:4" ht="12.75" customHeight="1">
      <c r="D479" s="63" t="s">
        <v>609</v>
      </c>
    </row>
    <row r="480" spans="4:4" ht="12.75" customHeight="1">
      <c r="D480" s="63" t="s">
        <v>669</v>
      </c>
    </row>
    <row r="481" spans="4:4" ht="12.75" customHeight="1">
      <c r="D481" s="63" t="s">
        <v>176</v>
      </c>
    </row>
    <row r="482" spans="4:4" ht="12.75" customHeight="1">
      <c r="D482" s="63" t="s">
        <v>956</v>
      </c>
    </row>
    <row r="483" spans="4:4" ht="12.75" customHeight="1">
      <c r="D483" s="63" t="s">
        <v>720</v>
      </c>
    </row>
    <row r="484" spans="4:4" ht="12.75" customHeight="1">
      <c r="D484" s="63" t="s">
        <v>739</v>
      </c>
    </row>
    <row r="485" spans="4:4" ht="12.75" customHeight="1">
      <c r="D485" s="63" t="s">
        <v>536</v>
      </c>
    </row>
    <row r="486" spans="4:4" ht="15" customHeight="1">
      <c r="D486" s="63" t="s">
        <v>884</v>
      </c>
    </row>
  </sheetData>
  <autoFilter ref="A3:X438" xr:uid="{00000000-0009-0000-0000-000003000000}">
    <filterColumn colId="11">
      <filters blank="1">
        <filter val="יצאה הצעת מחיר"/>
        <filter val="ממתין להזמנה"/>
        <filter val="משא ומתן"/>
        <filter val="נתקבלה פנייה"/>
      </filters>
    </filterColumn>
    <sortState xmlns:xlrd2="http://schemas.microsoft.com/office/spreadsheetml/2017/richdata2" ref="A18:X438">
      <sortCondition ref="A3:A438"/>
    </sortState>
  </autoFilter>
  <dataValidations count="14">
    <dataValidation type="list" allowBlank="1" showErrorMessage="1" sqref="L154:L155 L4:L12 L19:L20 L24:L25 L148:L152 L15 L32:L47 L50 L55:L60 L62:L65 L67 L70:L74 L78:L80 L82:L83 L85 L87 L89:L90 L93:L94 L96:L100 L104 L108:L111 L113:L114 L117:L119 L121 L124 L128:L129 L131:L137 L139:L141 L144:L146" xr:uid="{00000000-0002-0000-0300-000001000000}">
      <formula1>$J$442:$J$448</formula1>
    </dataValidation>
    <dataValidation type="list" allowBlank="1" showErrorMessage="1" sqref="I22 I28 I49 I54 I61 I75 I116 I120 I122 I138 I143" xr:uid="{00000000-0002-0000-0300-000004000000}">
      <formula1>$J$610:$J$616</formula1>
    </dataValidation>
    <dataValidation type="list" allowBlank="1" showErrorMessage="1" sqref="J154:J155 J15 J19:J20 J22 J24:J25 J27:J29 J32:J47 J49:J50 J53:J65 J67 J70:J75 J78:J80 J82:J83 J85 J87 J89:J90 J92:J94 J96:J100 J104 J106:J122 J124 J126 J128:J129 J131:J141 J143:J146 J148:J152 J4:J12" xr:uid="{00000000-0002-0000-0300-000005000000}">
      <formula1>$B$442:$B$450</formula1>
    </dataValidation>
    <dataValidation type="list" allowBlank="1" showErrorMessage="1" sqref="E22 E75 E49 E54 E116 E120 E122 E61 E138 E143 E28" xr:uid="{00000000-0002-0000-0300-000009000000}">
      <formula1>$D$610:$D$643</formula1>
    </dataValidation>
    <dataValidation type="list" allowBlank="1" showErrorMessage="1" sqref="L13:L14 L16:L18 I341 I326 L21:L23 L26:L31 I161 L48:L49 L51:L54 L61 L66 L68:L69 L75:L77 L81 L84 L86 L88 L91:L92 L95 L101:L103 L105:L107 L112 L115:L116 L120 L122:L123 L125:L127 L130 L138 L142:L143 L147 L153 I268:I292 I310:I324 L156:L437" xr:uid="{00000000-0002-0000-0300-00000A000000}">
      <formula1>$J$442:$J$447</formula1>
    </dataValidation>
    <dataValidation type="list" allowBlank="1" showErrorMessage="1" sqref="P144:P248 P23:P27 P29:P48 P50:P53 P55:P60 P62:P74 P76:P115 P117:P119 P121 P123:P137 P139:P142 P4:P21" xr:uid="{00000000-0002-0000-0300-00000D000000}">
      <formula1>$L$442:$L$443</formula1>
    </dataValidation>
    <dataValidation type="list" allowBlank="1" showErrorMessage="1" sqref="E161" xr:uid="{00000000-0002-0000-0300-00000E000000}">
      <formula1>$D$442:$D$477</formula1>
    </dataValidation>
    <dataValidation type="list" allowBlank="1" showErrorMessage="1" sqref="J102 J125 J147" xr:uid="{00000000-0002-0000-0300-00000F000000}">
      <formula1>$B$610:$B$618</formula1>
    </dataValidation>
    <dataValidation type="list" allowBlank="1" showErrorMessage="1" sqref="J13:J14 J23 J26 J30:J31 J48 J51:J52 J66 J68:J69 J76:J77 J81 J84 J86 J88 J91 J95 J101 J103 J105 J123 J127 J130 J142 J153 G291 J16:J18 J21 J156:J437" xr:uid="{00000000-0002-0000-0300-000010000000}">
      <formula1>$B$442:$B$447</formula1>
    </dataValidation>
    <dataValidation type="list" allowBlank="1" showInputMessage="1" showErrorMessage="1" sqref="F203:F212 F417:F437 F292:F315 F214:F290 E268:E292 E310:E324 F4:F201" xr:uid="{C1273C7B-8BF9-4C0C-AB18-562F74ADDA42}">
      <formula1>$D$442:$D$482</formula1>
    </dataValidation>
    <dataValidation type="list" allowBlank="1" showInputMessage="1" showErrorMessage="1" sqref="F202" xr:uid="{6A4AAD22-5B8C-4C56-8E21-9E07FD28EC59}">
      <formula1>$D$442:$D$483</formula1>
    </dataValidation>
    <dataValidation type="list" allowBlank="1" showInputMessage="1" showErrorMessage="1" sqref="F213" xr:uid="{58D28287-0AF5-4A8D-B313-48A716745333}">
      <formula1>$D$442:$D$485</formula1>
    </dataValidation>
    <dataValidation allowBlank="1" showErrorMessage="1" sqref="G259:G267" xr:uid="{D0322ABD-9150-4285-BF3B-038F85FFB10A}"/>
    <dataValidation type="list" allowBlank="1" showInputMessage="1" showErrorMessage="1" sqref="E326 E341 F316:F340 F342:F416" xr:uid="{2FCDB112-467D-4D0D-8C25-0669A2F1B0E5}">
      <formula1>$D$442:$D$488</formula1>
    </dataValidation>
  </dataValidations>
  <hyperlinks>
    <hyperlink ref="M150" r:id="rId1" xr:uid="{00000000-0004-0000-0300-000000000000}"/>
    <hyperlink ref="H42" r:id="rId2" xr:uid="{00000000-0004-0000-0300-000001000000}"/>
    <hyperlink ref="H16" r:id="rId3" xr:uid="{00000000-0004-0000-0300-000002000000}"/>
    <hyperlink ref="H44" r:id="rId4" xr:uid="{00000000-0004-0000-0300-000003000000}"/>
    <hyperlink ref="H33" r:id="rId5" xr:uid="{00000000-0004-0000-0300-000004000000}"/>
    <hyperlink ref="H29" r:id="rId6" xr:uid="{00000000-0004-0000-0300-000005000000}"/>
    <hyperlink ref="H28" r:id="rId7" xr:uid="{00000000-0004-0000-0300-000006000000}"/>
    <hyperlink ref="M110" r:id="rId8" xr:uid="{00000000-0004-0000-0300-000007000000}"/>
    <hyperlink ref="H26" r:id="rId9" xr:uid="{00000000-0004-0000-0300-000008000000}"/>
    <hyperlink ref="H25" r:id="rId10" xr:uid="{00000000-0004-0000-0300-000009000000}"/>
  </hyperlinks>
  <pageMargins left="0.7" right="0.7" top="0.75" bottom="0.75" header="0" footer="0"/>
  <pageSetup paperSize="9" orientation="portrait"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5"/>
  <dimension ref="A1:AL158"/>
  <sheetViews>
    <sheetView zoomScaleNormal="100" workbookViewId="0">
      <pane xSplit="2" ySplit="7" topLeftCell="C50" activePane="bottomRight" state="frozen"/>
      <selection pane="bottomRight" activeCell="J53" sqref="J53"/>
      <selection pane="bottomLeft" activeCell="A8" sqref="A8"/>
      <selection pane="topRight" activeCell="C1" sqref="C1"/>
    </sheetView>
  </sheetViews>
  <sheetFormatPr defaultColWidth="12.5703125" defaultRowHeight="15" customHeight="1"/>
  <cols>
    <col min="1" max="1" width="12.42578125" customWidth="1"/>
    <col min="2" max="2" width="32.28515625" bestFit="1" customWidth="1"/>
    <col min="3" max="3" width="40.140625" style="451" bestFit="1" customWidth="1"/>
    <col min="4" max="4" width="76.7109375" hidden="1" customWidth="1"/>
    <col min="5" max="5" width="11.85546875" customWidth="1"/>
    <col min="6" max="6" width="16.7109375" customWidth="1"/>
    <col min="7" max="7" width="13.42578125" customWidth="1"/>
    <col min="8" max="8" width="12.85546875" customWidth="1"/>
    <col min="9" max="9" width="12.5703125" customWidth="1"/>
    <col min="10" max="11" width="14" customWidth="1"/>
    <col min="12" max="12" width="13" customWidth="1"/>
    <col min="13" max="13" width="13.42578125" customWidth="1"/>
    <col min="14" max="14" width="12.42578125" customWidth="1"/>
    <col min="15" max="15" width="12.5703125" customWidth="1"/>
    <col min="16" max="16" width="10.42578125" customWidth="1"/>
    <col min="17" max="17" width="12.5703125" customWidth="1"/>
    <col min="18" max="18" width="12.42578125" customWidth="1"/>
    <col min="19" max="19" width="12.5703125" customWidth="1"/>
    <col min="20" max="20" width="11.5703125" customWidth="1"/>
    <col min="21" max="21" width="12.42578125" customWidth="1"/>
    <col min="22" max="22" width="11.42578125" customWidth="1"/>
    <col min="23" max="23" width="12.42578125" customWidth="1"/>
    <col min="24" max="24" width="13.42578125" customWidth="1"/>
    <col min="25" max="25" width="11.42578125" customWidth="1"/>
    <col min="26" max="26" width="13.42578125" customWidth="1"/>
    <col min="27" max="27" width="12.42578125" customWidth="1"/>
    <col min="28" max="28" width="13.42578125" customWidth="1"/>
    <col min="29" max="31" width="14.42578125" customWidth="1"/>
    <col min="32" max="32" width="15.42578125" customWidth="1"/>
    <col min="33" max="33" width="14" customWidth="1"/>
    <col min="34" max="34" width="14.42578125" customWidth="1"/>
    <col min="35" max="35" width="15.5703125" customWidth="1"/>
    <col min="36" max="36" width="15" customWidth="1"/>
    <col min="37" max="37" width="15.42578125" customWidth="1"/>
    <col min="38" max="47" width="9.42578125" customWidth="1"/>
  </cols>
  <sheetData>
    <row r="1" spans="1:37" ht="21.75" customHeight="1">
      <c r="B1" s="505" t="s">
        <v>1016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524"/>
      <c r="T1" s="524"/>
      <c r="U1" s="524"/>
      <c r="V1" s="524"/>
      <c r="W1" s="524"/>
      <c r="X1" s="524"/>
      <c r="Y1" s="524"/>
      <c r="Z1" s="524"/>
      <c r="AA1" s="524"/>
      <c r="AB1" s="524"/>
      <c r="AC1" s="524"/>
      <c r="AD1" s="524"/>
      <c r="AE1" s="524"/>
      <c r="AF1" s="524"/>
      <c r="AG1" s="524"/>
      <c r="AH1" s="524"/>
      <c r="AI1" s="63"/>
      <c r="AJ1" s="151"/>
      <c r="AK1" s="151"/>
    </row>
    <row r="2" spans="1:37" ht="8.25" customHeight="1">
      <c r="B2" s="506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524"/>
      <c r="T2" s="524"/>
      <c r="U2" s="524"/>
      <c r="V2" s="524"/>
      <c r="W2" s="524"/>
      <c r="X2" s="524"/>
      <c r="Y2" s="524"/>
      <c r="Z2" s="524"/>
      <c r="AA2" s="524"/>
      <c r="AB2" s="524"/>
      <c r="AC2" s="524"/>
      <c r="AD2" s="524"/>
      <c r="AE2" s="524"/>
      <c r="AF2" s="524"/>
      <c r="AG2" s="524"/>
      <c r="AH2" s="524"/>
      <c r="AI2" s="63"/>
      <c r="AJ2" s="151"/>
      <c r="AK2" s="151"/>
    </row>
    <row r="3" spans="1:37" ht="15.75" customHeight="1">
      <c r="B3" s="152"/>
      <c r="C3" s="430"/>
      <c r="D3" s="152"/>
      <c r="E3" s="152"/>
      <c r="F3" s="152"/>
      <c r="G3" s="152"/>
      <c r="H3" s="152"/>
      <c r="I3" s="152"/>
      <c r="J3" s="80"/>
      <c r="K3" s="80"/>
      <c r="L3" s="80" t="s">
        <v>1017</v>
      </c>
      <c r="M3" s="80" t="s">
        <v>1018</v>
      </c>
      <c r="N3" s="80" t="s">
        <v>1019</v>
      </c>
      <c r="O3" s="80" t="s">
        <v>1020</v>
      </c>
      <c r="P3" s="80" t="s">
        <v>1021</v>
      </c>
      <c r="Q3" s="80" t="s">
        <v>1022</v>
      </c>
      <c r="R3" s="80" t="s">
        <v>1023</v>
      </c>
      <c r="S3" s="80" t="s">
        <v>1024</v>
      </c>
      <c r="T3" s="80" t="s">
        <v>1025</v>
      </c>
      <c r="U3" s="80" t="s">
        <v>1026</v>
      </c>
      <c r="V3" s="80" t="s">
        <v>1027</v>
      </c>
      <c r="W3" s="80" t="s">
        <v>1028</v>
      </c>
      <c r="X3" s="80" t="s">
        <v>1029</v>
      </c>
      <c r="Y3" s="80" t="s">
        <v>1030</v>
      </c>
      <c r="Z3" s="80" t="s">
        <v>1031</v>
      </c>
      <c r="AA3" s="80" t="s">
        <v>1032</v>
      </c>
      <c r="AB3" s="80" t="s">
        <v>1033</v>
      </c>
      <c r="AC3" s="80" t="s">
        <v>1034</v>
      </c>
      <c r="AD3" s="80" t="s">
        <v>1035</v>
      </c>
      <c r="AE3" s="80" t="s">
        <v>1036</v>
      </c>
      <c r="AF3" s="80" t="s">
        <v>1037</v>
      </c>
      <c r="AG3" s="80" t="s">
        <v>1038</v>
      </c>
      <c r="AH3" s="80" t="s">
        <v>1039</v>
      </c>
      <c r="AI3" s="80" t="s">
        <v>1040</v>
      </c>
      <c r="AJ3" s="80"/>
      <c r="AK3" s="80"/>
    </row>
    <row r="4" spans="1:37" ht="15.75" customHeight="1">
      <c r="B4" s="153"/>
      <c r="C4" s="431"/>
      <c r="D4" s="153"/>
      <c r="E4" s="153"/>
      <c r="F4" s="153"/>
      <c r="G4" s="153"/>
      <c r="H4" s="153"/>
      <c r="I4" s="153"/>
      <c r="J4" s="31" t="s">
        <v>1041</v>
      </c>
      <c r="K4" s="154" t="s">
        <v>1042</v>
      </c>
      <c r="L4" s="507" t="s">
        <v>1043</v>
      </c>
      <c r="M4" s="530"/>
      <c r="N4" s="507" t="s">
        <v>1043</v>
      </c>
      <c r="O4" s="530"/>
      <c r="P4" s="507" t="s">
        <v>1043</v>
      </c>
      <c r="Q4" s="530"/>
      <c r="R4" s="507" t="s">
        <v>1043</v>
      </c>
      <c r="S4" s="530"/>
      <c r="T4" s="507" t="s">
        <v>1043</v>
      </c>
      <c r="U4" s="530"/>
      <c r="V4" s="507" t="s">
        <v>1043</v>
      </c>
      <c r="W4" s="530"/>
      <c r="X4" s="507" t="s">
        <v>1043</v>
      </c>
      <c r="Y4" s="530"/>
      <c r="Z4" s="507" t="s">
        <v>1043</v>
      </c>
      <c r="AA4" s="530"/>
      <c r="AB4" s="507" t="s">
        <v>1043</v>
      </c>
      <c r="AC4" s="530"/>
      <c r="AD4" s="507" t="s">
        <v>1043</v>
      </c>
      <c r="AE4" s="530"/>
      <c r="AF4" s="507" t="s">
        <v>1043</v>
      </c>
      <c r="AG4" s="531"/>
      <c r="AH4" s="508" t="s">
        <v>1043</v>
      </c>
      <c r="AI4" s="531"/>
      <c r="AJ4" s="81" t="s">
        <v>1044</v>
      </c>
      <c r="AK4" s="81" t="s">
        <v>1045</v>
      </c>
    </row>
    <row r="5" spans="1:37" ht="15.75" customHeight="1">
      <c r="B5" s="82" t="s">
        <v>280</v>
      </c>
      <c r="C5" s="432"/>
      <c r="D5" s="82"/>
      <c r="E5" s="82"/>
      <c r="F5" s="82"/>
      <c r="G5" s="82"/>
      <c r="H5" s="82"/>
      <c r="I5" s="82"/>
      <c r="J5" s="83">
        <f>+J155</f>
        <v>992645.54</v>
      </c>
      <c r="K5" s="84">
        <f t="shared" ref="K5:AI5" si="0">+K155</f>
        <v>148934</v>
      </c>
      <c r="L5" s="83">
        <f t="shared" si="0"/>
        <v>127357.54000000001</v>
      </c>
      <c r="M5" s="84">
        <f t="shared" si="0"/>
        <v>102860</v>
      </c>
      <c r="N5" s="83">
        <f t="shared" si="0"/>
        <v>200613</v>
      </c>
      <c r="O5" s="84">
        <f t="shared" si="0"/>
        <v>173764</v>
      </c>
      <c r="P5" s="83">
        <f t="shared" si="0"/>
        <v>64719</v>
      </c>
      <c r="Q5" s="84">
        <f t="shared" si="0"/>
        <v>52719</v>
      </c>
      <c r="R5" s="83">
        <f t="shared" si="0"/>
        <v>147920</v>
      </c>
      <c r="S5" s="84">
        <f t="shared" si="0"/>
        <v>0</v>
      </c>
      <c r="T5" s="83">
        <f t="shared" si="0"/>
        <v>28350</v>
      </c>
      <c r="U5" s="84">
        <f t="shared" si="0"/>
        <v>0</v>
      </c>
      <c r="V5" s="83">
        <f t="shared" si="0"/>
        <v>19433</v>
      </c>
      <c r="W5" s="84">
        <f t="shared" si="0"/>
        <v>0</v>
      </c>
      <c r="X5" s="83">
        <f t="shared" si="0"/>
        <v>162684</v>
      </c>
      <c r="Y5" s="84">
        <f t="shared" si="0"/>
        <v>0</v>
      </c>
      <c r="Z5" s="83">
        <f t="shared" si="0"/>
        <v>36330</v>
      </c>
      <c r="AA5" s="84">
        <f t="shared" si="0"/>
        <v>0</v>
      </c>
      <c r="AB5" s="83">
        <f t="shared" si="0"/>
        <v>91199</v>
      </c>
      <c r="AC5" s="84">
        <f t="shared" si="0"/>
        <v>0</v>
      </c>
      <c r="AD5" s="83">
        <f t="shared" si="0"/>
        <v>37490</v>
      </c>
      <c r="AE5" s="84">
        <f t="shared" si="0"/>
        <v>0</v>
      </c>
      <c r="AF5" s="83">
        <f t="shared" si="0"/>
        <v>24600</v>
      </c>
      <c r="AG5" s="84">
        <f t="shared" si="0"/>
        <v>0</v>
      </c>
      <c r="AH5" s="83">
        <f t="shared" si="0"/>
        <v>61849</v>
      </c>
      <c r="AI5" s="84">
        <f t="shared" si="0"/>
        <v>32000</v>
      </c>
      <c r="AJ5" s="83">
        <f t="shared" ref="AJ5:AK5" si="1">AH5/12</f>
        <v>5154.083333333333</v>
      </c>
      <c r="AK5" s="84">
        <f t="shared" si="1"/>
        <v>2666.6666666666665</v>
      </c>
    </row>
    <row r="6" spans="1:37" ht="16.5" customHeight="1" thickBot="1">
      <c r="B6" s="515" t="s">
        <v>1046</v>
      </c>
      <c r="C6" s="530"/>
      <c r="D6" s="530"/>
      <c r="E6" s="530"/>
      <c r="F6" s="530"/>
      <c r="G6" s="530"/>
      <c r="H6" s="530"/>
      <c r="I6" s="530"/>
      <c r="J6" s="530"/>
      <c r="K6" s="530"/>
      <c r="L6" s="530"/>
      <c r="M6" s="530"/>
      <c r="N6" s="530"/>
      <c r="O6" s="530"/>
      <c r="P6" s="530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530"/>
      <c r="AG6" s="530"/>
      <c r="AH6" s="530"/>
      <c r="AI6" s="63"/>
      <c r="AJ6" s="85"/>
      <c r="AK6" s="85"/>
    </row>
    <row r="7" spans="1:37" ht="19.5" customHeight="1">
      <c r="A7" s="86"/>
      <c r="B7" s="87" t="s">
        <v>1047</v>
      </c>
      <c r="C7" s="433" t="s">
        <v>1048</v>
      </c>
      <c r="D7" s="87" t="s">
        <v>1049</v>
      </c>
      <c r="E7" s="87" t="s">
        <v>1050</v>
      </c>
      <c r="F7" s="87" t="s">
        <v>1051</v>
      </c>
      <c r="G7" s="87" t="s">
        <v>1052</v>
      </c>
      <c r="H7" s="88" t="s">
        <v>1053</v>
      </c>
      <c r="I7" s="88" t="s">
        <v>1054</v>
      </c>
      <c r="J7" s="89"/>
      <c r="K7" s="89"/>
      <c r="L7" s="504" t="s">
        <v>1</v>
      </c>
      <c r="M7" s="531"/>
      <c r="N7" s="504" t="s">
        <v>2</v>
      </c>
      <c r="O7" s="531"/>
      <c r="P7" s="504" t="s">
        <v>1055</v>
      </c>
      <c r="Q7" s="531"/>
      <c r="R7" s="504" t="s">
        <v>4</v>
      </c>
      <c r="S7" s="531"/>
      <c r="T7" s="504" t="s">
        <v>5</v>
      </c>
      <c r="U7" s="531"/>
      <c r="V7" s="504" t="s">
        <v>6</v>
      </c>
      <c r="W7" s="531"/>
      <c r="X7" s="504" t="s">
        <v>1056</v>
      </c>
      <c r="Y7" s="531"/>
      <c r="Z7" s="504" t="s">
        <v>8</v>
      </c>
      <c r="AA7" s="531"/>
      <c r="AB7" s="504" t="s">
        <v>9</v>
      </c>
      <c r="AC7" s="531"/>
      <c r="AD7" s="504" t="s">
        <v>10</v>
      </c>
      <c r="AE7" s="531"/>
      <c r="AF7" s="504" t="s">
        <v>11</v>
      </c>
      <c r="AG7" s="531"/>
      <c r="AH7" s="504" t="s">
        <v>12</v>
      </c>
      <c r="AI7" s="531"/>
      <c r="AJ7" s="82" t="s">
        <v>1057</v>
      </c>
      <c r="AK7" s="82" t="s">
        <v>1057</v>
      </c>
    </row>
    <row r="8" spans="1:37" ht="15.75" customHeight="1">
      <c r="A8" s="480">
        <v>400010001</v>
      </c>
      <c r="B8" s="495" t="s">
        <v>1058</v>
      </c>
      <c r="C8" s="255" t="s">
        <v>1059</v>
      </c>
      <c r="D8" s="163" t="s">
        <v>1060</v>
      </c>
      <c r="E8" s="163" t="s">
        <v>1061</v>
      </c>
      <c r="F8" s="163" t="s">
        <v>102</v>
      </c>
      <c r="G8" s="91" t="s">
        <v>1062</v>
      </c>
      <c r="H8" s="91"/>
      <c r="I8" s="92" t="s">
        <v>1063</v>
      </c>
      <c r="J8" s="93">
        <f t="shared" ref="J8:J19" si="2">+AH8+AF8+AD8+AB8+Z8+X8+V8+T8+R8+P8+N8+L8</f>
        <v>14400</v>
      </c>
      <c r="K8" s="155">
        <f t="shared" ref="K8:K100" si="3">M8+O8+Q8+S8+U8+W8+Y8+AA8+AC8+AE8+AG8+AI8</f>
        <v>3600</v>
      </c>
      <c r="L8" s="4"/>
      <c r="M8" s="94"/>
      <c r="N8" s="95"/>
      <c r="O8" s="94"/>
      <c r="P8" s="4">
        <v>3600</v>
      </c>
      <c r="Q8" s="94">
        <v>3600</v>
      </c>
      <c r="R8" s="4"/>
      <c r="S8" s="94"/>
      <c r="T8" s="4"/>
      <c r="U8" s="94"/>
      <c r="V8" s="96">
        <v>3600</v>
      </c>
      <c r="W8" s="94"/>
      <c r="X8" s="4"/>
      <c r="Y8" s="94"/>
      <c r="Z8" s="4"/>
      <c r="AA8" s="94"/>
      <c r="AB8" s="4">
        <v>3600</v>
      </c>
      <c r="AC8" s="94"/>
      <c r="AD8" s="4"/>
      <c r="AE8" s="94"/>
      <c r="AF8" s="4"/>
      <c r="AG8" s="94"/>
      <c r="AH8" s="4">
        <v>3600</v>
      </c>
      <c r="AI8" s="94"/>
      <c r="AJ8" s="97">
        <f t="shared" ref="AJ8:AK8" si="4">J8/12</f>
        <v>1200</v>
      </c>
      <c r="AK8" s="97">
        <f t="shared" si="4"/>
        <v>300</v>
      </c>
    </row>
    <row r="9" spans="1:37" ht="15.75" hidden="1" customHeight="1">
      <c r="A9" s="480"/>
      <c r="B9" s="496"/>
      <c r="C9" s="255" t="s">
        <v>1064</v>
      </c>
      <c r="D9" s="163"/>
      <c r="E9" s="163"/>
      <c r="F9" s="163"/>
      <c r="G9" s="91"/>
      <c r="H9" s="91"/>
      <c r="I9" s="92"/>
      <c r="J9" s="93">
        <v>9970</v>
      </c>
      <c r="K9" s="155"/>
      <c r="L9" s="4"/>
      <c r="M9" s="94"/>
      <c r="N9" s="95"/>
      <c r="O9" s="94"/>
      <c r="P9" s="4"/>
      <c r="Q9" s="94"/>
      <c r="R9" s="4"/>
      <c r="S9" s="94"/>
      <c r="T9" s="4"/>
      <c r="U9" s="94"/>
      <c r="V9" s="96"/>
      <c r="W9" s="94"/>
      <c r="X9" s="4"/>
      <c r="Y9" s="94"/>
      <c r="Z9" s="4"/>
      <c r="AA9" s="94"/>
      <c r="AB9" s="4"/>
      <c r="AC9" s="94"/>
      <c r="AD9" s="4"/>
      <c r="AE9" s="94"/>
      <c r="AF9" s="4"/>
      <c r="AG9" s="94"/>
      <c r="AH9" s="4"/>
      <c r="AI9" s="94"/>
      <c r="AJ9" s="97"/>
      <c r="AK9" s="97"/>
    </row>
    <row r="10" spans="1:37" ht="15.75" hidden="1" customHeight="1">
      <c r="A10" s="480"/>
      <c r="B10" s="497"/>
      <c r="C10" s="255" t="s">
        <v>1065</v>
      </c>
      <c r="D10" s="163"/>
      <c r="E10" s="163"/>
      <c r="F10" s="163"/>
      <c r="G10" s="91"/>
      <c r="H10" s="91"/>
      <c r="I10" s="92"/>
      <c r="J10" s="93">
        <v>1800</v>
      </c>
      <c r="K10" s="155"/>
      <c r="L10" s="4"/>
      <c r="M10" s="94"/>
      <c r="N10" s="95"/>
      <c r="O10" s="94"/>
      <c r="P10" s="4"/>
      <c r="Q10" s="94"/>
      <c r="R10" s="4"/>
      <c r="S10" s="94"/>
      <c r="T10" s="4"/>
      <c r="U10" s="94"/>
      <c r="V10" s="96"/>
      <c r="W10" s="94"/>
      <c r="X10" s="4"/>
      <c r="Y10" s="94"/>
      <c r="Z10" s="4"/>
      <c r="AA10" s="94"/>
      <c r="AB10" s="4">
        <v>1800</v>
      </c>
      <c r="AC10" s="94"/>
      <c r="AD10" s="4"/>
      <c r="AE10" s="94"/>
      <c r="AF10" s="4"/>
      <c r="AG10" s="94"/>
      <c r="AH10" s="4"/>
      <c r="AI10" s="94"/>
      <c r="AJ10" s="97"/>
      <c r="AK10" s="97"/>
    </row>
    <row r="11" spans="1:37" ht="15.75" customHeight="1">
      <c r="A11" s="340">
        <v>400010002</v>
      </c>
      <c r="B11" s="498" t="s">
        <v>1066</v>
      </c>
      <c r="C11" s="255" t="s">
        <v>1067</v>
      </c>
      <c r="D11" s="163" t="s">
        <v>1068</v>
      </c>
      <c r="E11" s="90" t="s">
        <v>1061</v>
      </c>
      <c r="F11" s="90" t="s">
        <v>102</v>
      </c>
      <c r="G11" s="91" t="s">
        <v>1069</v>
      </c>
      <c r="H11" s="91"/>
      <c r="I11" s="92" t="s">
        <v>1063</v>
      </c>
      <c r="J11" s="93">
        <f>+AH11+AF11+AD11+AB11+Z11+X11+V11+T11+R11+P11+N11+L11</f>
        <v>21600</v>
      </c>
      <c r="K11" s="155">
        <f t="shared" si="3"/>
        <v>5400</v>
      </c>
      <c r="L11" s="4">
        <v>1800</v>
      </c>
      <c r="M11" s="184">
        <v>1800</v>
      </c>
      <c r="N11" s="4">
        <v>1800</v>
      </c>
      <c r="O11" s="94">
        <v>1800</v>
      </c>
      <c r="P11" s="4">
        <v>1800</v>
      </c>
      <c r="Q11" s="94">
        <v>1800</v>
      </c>
      <c r="R11" s="4">
        <v>1800</v>
      </c>
      <c r="S11" s="94"/>
      <c r="T11" s="4">
        <v>1800</v>
      </c>
      <c r="U11" s="94"/>
      <c r="V11" s="96">
        <v>1800</v>
      </c>
      <c r="W11" s="94"/>
      <c r="X11" s="4">
        <v>1800</v>
      </c>
      <c r="Y11" s="94"/>
      <c r="Z11" s="4">
        <v>1800</v>
      </c>
      <c r="AA11" s="94"/>
      <c r="AB11" s="4">
        <v>1800</v>
      </c>
      <c r="AC11" s="94"/>
      <c r="AD11" s="4">
        <v>1800</v>
      </c>
      <c r="AE11" s="94"/>
      <c r="AF11" s="4">
        <v>1800</v>
      </c>
      <c r="AG11" s="94"/>
      <c r="AH11" s="4">
        <v>1800</v>
      </c>
      <c r="AI11" s="94"/>
      <c r="AJ11" s="97">
        <f t="shared" ref="AJ11:AK11" si="5">J11/12</f>
        <v>1800</v>
      </c>
      <c r="AK11" s="97">
        <f t="shared" si="5"/>
        <v>450</v>
      </c>
    </row>
    <row r="12" spans="1:37" ht="15.75" hidden="1" customHeight="1">
      <c r="A12" s="309"/>
      <c r="B12" s="499"/>
      <c r="C12" s="255" t="s">
        <v>1070</v>
      </c>
      <c r="D12" s="163"/>
      <c r="E12" s="90"/>
      <c r="F12" s="90"/>
      <c r="G12" s="91"/>
      <c r="H12" s="91"/>
      <c r="I12" s="92"/>
      <c r="J12" s="93">
        <v>1500</v>
      </c>
      <c r="K12" s="155"/>
      <c r="L12" s="4"/>
      <c r="M12" s="184"/>
      <c r="N12" s="4"/>
      <c r="O12" s="94"/>
      <c r="P12" s="4"/>
      <c r="Q12" s="94"/>
      <c r="R12" s="4"/>
      <c r="S12" s="94"/>
      <c r="T12" s="4"/>
      <c r="U12" s="94"/>
      <c r="V12" s="96"/>
      <c r="W12" s="94"/>
      <c r="X12" s="4"/>
      <c r="Y12" s="94"/>
      <c r="Z12" s="59">
        <v>1500</v>
      </c>
      <c r="AA12" s="94"/>
      <c r="AB12" s="4"/>
      <c r="AC12" s="94"/>
      <c r="AD12" s="4"/>
      <c r="AE12" s="94"/>
      <c r="AF12" s="4"/>
      <c r="AG12" s="94"/>
      <c r="AH12" s="4"/>
      <c r="AI12" s="94"/>
      <c r="AJ12" s="97"/>
      <c r="AK12" s="97"/>
    </row>
    <row r="13" spans="1:37" ht="15.75" customHeight="1">
      <c r="A13" s="309"/>
      <c r="B13" s="500"/>
      <c r="C13" s="255" t="s">
        <v>1071</v>
      </c>
      <c r="D13" s="163"/>
      <c r="E13" s="90"/>
      <c r="F13" s="90"/>
      <c r="G13" s="91"/>
      <c r="H13" s="91" t="s">
        <v>1072</v>
      </c>
      <c r="I13" s="92" t="s">
        <v>1073</v>
      </c>
      <c r="J13" s="93"/>
      <c r="K13" s="155"/>
      <c r="L13" s="4"/>
      <c r="M13" s="184"/>
      <c r="N13" s="4"/>
      <c r="O13" s="94"/>
      <c r="P13" s="4"/>
      <c r="Q13" s="94"/>
      <c r="R13" s="4"/>
      <c r="S13" s="94"/>
      <c r="T13" s="4"/>
      <c r="U13" s="94"/>
      <c r="V13" s="96"/>
      <c r="W13" s="94"/>
      <c r="X13" s="4"/>
      <c r="Y13" s="94"/>
      <c r="Z13" s="59"/>
      <c r="AA13" s="94"/>
      <c r="AB13" s="4"/>
      <c r="AC13" s="94"/>
      <c r="AD13" s="4"/>
      <c r="AE13" s="94"/>
      <c r="AF13" s="4"/>
      <c r="AG13" s="94"/>
      <c r="AH13" s="4"/>
      <c r="AI13" s="94"/>
      <c r="AJ13" s="97"/>
      <c r="AK13" s="97"/>
    </row>
    <row r="14" spans="1:37" ht="15.75" customHeight="1">
      <c r="A14" s="459">
        <v>400010003</v>
      </c>
      <c r="B14" s="400" t="s">
        <v>1074</v>
      </c>
      <c r="C14" s="440" t="s">
        <v>1075</v>
      </c>
      <c r="D14" s="163" t="s">
        <v>1076</v>
      </c>
      <c r="E14" s="163"/>
      <c r="F14" s="163"/>
      <c r="G14" s="91" t="s">
        <v>1062</v>
      </c>
      <c r="H14" s="91"/>
      <c r="I14" s="92" t="s">
        <v>1063</v>
      </c>
      <c r="J14" s="93">
        <f t="shared" si="2"/>
        <v>12000</v>
      </c>
      <c r="K14" s="155">
        <f t="shared" si="3"/>
        <v>3000</v>
      </c>
      <c r="L14" s="4"/>
      <c r="M14" s="99"/>
      <c r="N14" s="4"/>
      <c r="O14" s="94"/>
      <c r="P14" s="4">
        <v>3000</v>
      </c>
      <c r="Q14" s="94">
        <v>3000</v>
      </c>
      <c r="R14" s="4"/>
      <c r="S14" s="94"/>
      <c r="T14" s="4"/>
      <c r="U14" s="94"/>
      <c r="V14" s="96">
        <v>3000</v>
      </c>
      <c r="W14" s="94"/>
      <c r="X14" s="4"/>
      <c r="Y14" s="94"/>
      <c r="Z14" s="59"/>
      <c r="AA14" s="94"/>
      <c r="AB14" s="4">
        <v>3000</v>
      </c>
      <c r="AC14" s="94"/>
      <c r="AD14" s="4"/>
      <c r="AE14" s="94"/>
      <c r="AF14" s="4"/>
      <c r="AG14" s="94"/>
      <c r="AH14" s="4">
        <v>3000</v>
      </c>
      <c r="AI14" s="94"/>
      <c r="AJ14" s="97">
        <f t="shared" ref="AJ14:AK14" si="6">J14/12</f>
        <v>1000</v>
      </c>
      <c r="AK14" s="97">
        <f t="shared" si="6"/>
        <v>250</v>
      </c>
    </row>
    <row r="15" spans="1:37" ht="15.75" customHeight="1">
      <c r="A15" s="460"/>
      <c r="B15" s="501" t="s">
        <v>1077</v>
      </c>
      <c r="C15" s="443" t="s">
        <v>1078</v>
      </c>
      <c r="D15" s="163"/>
      <c r="E15" s="163"/>
      <c r="F15" s="163"/>
      <c r="G15" s="91" t="s">
        <v>1062</v>
      </c>
      <c r="H15" s="91"/>
      <c r="I15" s="92" t="s">
        <v>1063</v>
      </c>
      <c r="J15" s="93"/>
      <c r="K15" s="155"/>
      <c r="L15" s="4"/>
      <c r="M15" s="94"/>
      <c r="N15" s="59"/>
      <c r="O15" s="94"/>
      <c r="P15" s="4">
        <v>1000</v>
      </c>
      <c r="Q15" s="94">
        <v>1000</v>
      </c>
      <c r="R15" s="59"/>
      <c r="S15" s="94"/>
      <c r="T15" s="4"/>
      <c r="U15" s="94"/>
      <c r="V15" s="96">
        <v>1000</v>
      </c>
      <c r="W15" s="94"/>
      <c r="X15" s="59"/>
      <c r="Y15" s="94"/>
      <c r="Z15" s="59"/>
      <c r="AA15" s="94"/>
      <c r="AB15" s="59">
        <v>1000</v>
      </c>
      <c r="AC15" s="94"/>
      <c r="AD15" s="59"/>
      <c r="AE15" s="94"/>
      <c r="AF15" s="4"/>
      <c r="AG15" s="94"/>
      <c r="AH15" s="59">
        <v>1000</v>
      </c>
      <c r="AI15" s="94"/>
      <c r="AJ15" s="97"/>
      <c r="AK15" s="97"/>
    </row>
    <row r="16" spans="1:37" ht="15.75" customHeight="1">
      <c r="A16" s="359"/>
      <c r="B16" s="502"/>
      <c r="C16" s="395" t="s">
        <v>1079</v>
      </c>
      <c r="D16" s="163"/>
      <c r="E16" s="163"/>
      <c r="F16" s="163"/>
      <c r="G16" s="91" t="s">
        <v>1062</v>
      </c>
      <c r="H16" s="91"/>
      <c r="I16" s="92" t="s">
        <v>1063</v>
      </c>
      <c r="J16" s="93"/>
      <c r="K16" s="155"/>
      <c r="L16" s="4"/>
      <c r="M16" s="94"/>
      <c r="N16" s="59"/>
      <c r="O16" s="94"/>
      <c r="P16" s="4">
        <v>500</v>
      </c>
      <c r="Q16" s="94">
        <v>500</v>
      </c>
      <c r="R16" s="59"/>
      <c r="S16" s="94"/>
      <c r="T16" s="4"/>
      <c r="U16" s="94"/>
      <c r="V16" s="96">
        <v>500</v>
      </c>
      <c r="W16" s="94"/>
      <c r="X16" s="59"/>
      <c r="Y16" s="94"/>
      <c r="Z16" s="59"/>
      <c r="AA16" s="94"/>
      <c r="AB16" s="59">
        <v>500</v>
      </c>
      <c r="AC16" s="94"/>
      <c r="AD16" s="59"/>
      <c r="AE16" s="94"/>
      <c r="AF16" s="4"/>
      <c r="AG16" s="94"/>
      <c r="AH16" s="59">
        <v>500</v>
      </c>
      <c r="AI16" s="94"/>
      <c r="AJ16" s="97"/>
      <c r="AK16" s="97"/>
    </row>
    <row r="17" spans="1:37" ht="16.350000000000001" hidden="1" customHeight="1">
      <c r="A17" s="263">
        <v>400010004</v>
      </c>
      <c r="B17" s="310" t="s">
        <v>1080</v>
      </c>
      <c r="C17" s="441" t="s">
        <v>1080</v>
      </c>
      <c r="D17" s="163" t="s">
        <v>1081</v>
      </c>
      <c r="E17" s="163" t="s">
        <v>1061</v>
      </c>
      <c r="F17" s="163" t="s">
        <v>102</v>
      </c>
      <c r="G17" s="91" t="s">
        <v>1082</v>
      </c>
      <c r="H17" s="91"/>
      <c r="I17" s="92"/>
      <c r="J17" s="93">
        <f t="shared" si="2"/>
        <v>0</v>
      </c>
      <c r="K17" s="155">
        <f t="shared" si="3"/>
        <v>0</v>
      </c>
      <c r="L17" s="4"/>
      <c r="M17" s="94"/>
      <c r="N17" s="59"/>
      <c r="O17" s="94"/>
      <c r="P17" s="4"/>
      <c r="Q17" s="94"/>
      <c r="R17" s="59"/>
      <c r="S17" s="94"/>
      <c r="T17" s="4"/>
      <c r="U17" s="94"/>
      <c r="V17" s="96"/>
      <c r="W17" s="94"/>
      <c r="X17" s="59"/>
      <c r="Y17" s="94"/>
      <c r="Z17" s="4"/>
      <c r="AA17" s="94"/>
      <c r="AB17" s="59"/>
      <c r="AC17" s="94"/>
      <c r="AD17" s="59"/>
      <c r="AE17" s="94"/>
      <c r="AF17" s="4"/>
      <c r="AG17" s="94"/>
      <c r="AH17" s="59"/>
      <c r="AI17" s="94"/>
      <c r="AJ17" s="97">
        <f t="shared" ref="AJ17:AK17" si="7">J17/12</f>
        <v>0</v>
      </c>
      <c r="AK17" s="97">
        <f t="shared" si="7"/>
        <v>0</v>
      </c>
    </row>
    <row r="18" spans="1:37" ht="15.75" customHeight="1">
      <c r="A18" s="98">
        <v>400010005</v>
      </c>
      <c r="B18" s="90" t="s">
        <v>1083</v>
      </c>
      <c r="C18" s="255" t="s">
        <v>1083</v>
      </c>
      <c r="D18" s="163" t="s">
        <v>1084</v>
      </c>
      <c r="E18" s="90" t="s">
        <v>1061</v>
      </c>
      <c r="F18" s="90" t="s">
        <v>102</v>
      </c>
      <c r="G18" s="91" t="s">
        <v>1062</v>
      </c>
      <c r="H18" s="91"/>
      <c r="I18" s="92" t="s">
        <v>1063</v>
      </c>
      <c r="J18" s="93">
        <f t="shared" si="2"/>
        <v>50000</v>
      </c>
      <c r="K18" s="155">
        <f t="shared" si="3"/>
        <v>12500</v>
      </c>
      <c r="L18" s="96"/>
      <c r="M18" s="184"/>
      <c r="N18" s="96">
        <v>12500</v>
      </c>
      <c r="O18" s="94">
        <v>12500</v>
      </c>
      <c r="P18" s="96"/>
      <c r="Q18" s="94"/>
      <c r="R18" s="96"/>
      <c r="S18" s="94"/>
      <c r="T18" s="96">
        <v>12500</v>
      </c>
      <c r="U18" s="94"/>
      <c r="V18" s="96"/>
      <c r="W18" s="94"/>
      <c r="X18" s="96"/>
      <c r="Y18" s="94"/>
      <c r="Z18" s="96">
        <v>12500</v>
      </c>
      <c r="AA18" s="94"/>
      <c r="AB18" s="96"/>
      <c r="AC18" s="94"/>
      <c r="AD18" s="96"/>
      <c r="AE18" s="94"/>
      <c r="AF18" s="96">
        <v>12500</v>
      </c>
      <c r="AG18" s="94"/>
      <c r="AH18" s="96"/>
      <c r="AI18" s="94"/>
      <c r="AJ18" s="100">
        <f t="shared" ref="AJ18:AK18" si="8">J18/12</f>
        <v>4166.666666666667</v>
      </c>
      <c r="AK18" s="100">
        <f t="shared" si="8"/>
        <v>1041.6666666666667</v>
      </c>
    </row>
    <row r="19" spans="1:37" ht="15.75" customHeight="1">
      <c r="A19" s="98">
        <v>400010006</v>
      </c>
      <c r="B19" s="90" t="s">
        <v>1085</v>
      </c>
      <c r="C19" s="255"/>
      <c r="D19" s="163" t="s">
        <v>1086</v>
      </c>
      <c r="E19" s="163"/>
      <c r="F19" s="163"/>
      <c r="G19" s="91" t="s">
        <v>1062</v>
      </c>
      <c r="H19" s="91"/>
      <c r="I19" s="92" t="s">
        <v>1063</v>
      </c>
      <c r="J19" s="93">
        <f t="shared" si="2"/>
        <v>6600</v>
      </c>
      <c r="K19" s="155">
        <f t="shared" si="3"/>
        <v>1650</v>
      </c>
      <c r="L19" s="4"/>
      <c r="M19" s="183"/>
      <c r="N19" s="4"/>
      <c r="O19" s="94"/>
      <c r="P19" s="4">
        <v>1650</v>
      </c>
      <c r="Q19" s="94">
        <v>1650</v>
      </c>
      <c r="R19" s="59"/>
      <c r="S19" s="94"/>
      <c r="T19" s="4"/>
      <c r="U19" s="94"/>
      <c r="V19" s="96">
        <v>1650</v>
      </c>
      <c r="W19" s="94"/>
      <c r="X19" s="59"/>
      <c r="Y19" s="94"/>
      <c r="Z19" s="4"/>
      <c r="AA19" s="94"/>
      <c r="AB19" s="4">
        <v>1650</v>
      </c>
      <c r="AC19" s="94"/>
      <c r="AD19" s="59"/>
      <c r="AE19" s="94"/>
      <c r="AF19" s="4"/>
      <c r="AG19" s="94"/>
      <c r="AH19" s="4">
        <v>1650</v>
      </c>
      <c r="AI19" s="94"/>
      <c r="AJ19" s="97">
        <f t="shared" ref="AJ19:AK19" si="9">J19/12</f>
        <v>550</v>
      </c>
      <c r="AK19" s="97">
        <f t="shared" si="9"/>
        <v>137.5</v>
      </c>
    </row>
    <row r="20" spans="1:37" ht="15.75" customHeight="1">
      <c r="A20" s="98">
        <v>400010007</v>
      </c>
      <c r="B20" s="377" t="s">
        <v>524</v>
      </c>
      <c r="C20" s="255" t="s">
        <v>1087</v>
      </c>
      <c r="D20" s="163" t="s">
        <v>1088</v>
      </c>
      <c r="E20" s="90" t="s">
        <v>1061</v>
      </c>
      <c r="F20" s="90" t="s">
        <v>1089</v>
      </c>
      <c r="G20" s="91" t="s">
        <v>1090</v>
      </c>
      <c r="H20" s="91"/>
      <c r="I20" s="398" t="s">
        <v>1091</v>
      </c>
      <c r="J20" s="93">
        <v>16350</v>
      </c>
      <c r="K20" s="155"/>
      <c r="L20" s="4">
        <v>16350</v>
      </c>
      <c r="M20" s="184">
        <v>16350</v>
      </c>
      <c r="N20" s="101"/>
      <c r="O20" s="94"/>
      <c r="P20" s="101"/>
      <c r="Q20" s="94"/>
      <c r="R20" s="101"/>
      <c r="S20" s="94"/>
      <c r="T20" s="101"/>
      <c r="U20" s="94"/>
      <c r="V20" s="101"/>
      <c r="W20" s="94"/>
      <c r="X20" s="101"/>
      <c r="Y20" s="94"/>
      <c r="Z20" s="101"/>
      <c r="AA20" s="94"/>
      <c r="AB20" s="101"/>
      <c r="AC20" s="94"/>
      <c r="AD20" s="101"/>
      <c r="AE20" s="94"/>
      <c r="AF20" s="101"/>
      <c r="AG20" s="94"/>
      <c r="AH20" s="101"/>
      <c r="AI20" s="94"/>
      <c r="AJ20" s="100">
        <f t="shared" ref="AJ20:AK20" si="10">J20/12</f>
        <v>1362.5</v>
      </c>
      <c r="AK20" s="100">
        <f t="shared" si="10"/>
        <v>0</v>
      </c>
    </row>
    <row r="21" spans="1:37" ht="15.75" customHeight="1">
      <c r="A21" s="98">
        <v>400010009</v>
      </c>
      <c r="B21" s="90" t="s">
        <v>1092</v>
      </c>
      <c r="C21" s="255" t="s">
        <v>1092</v>
      </c>
      <c r="D21" s="163" t="s">
        <v>1093</v>
      </c>
      <c r="E21" s="163" t="s">
        <v>1061</v>
      </c>
      <c r="F21" s="163" t="s">
        <v>102</v>
      </c>
      <c r="G21" s="90" t="s">
        <v>1069</v>
      </c>
      <c r="H21" s="91"/>
      <c r="I21" s="92" t="s">
        <v>1063</v>
      </c>
      <c r="J21" s="93">
        <f t="shared" ref="J21:J24" si="11">+AH21+AF21+AD21+AB21+Z21+X21+V21+T21+R21+P21+N21+L21</f>
        <v>19200</v>
      </c>
      <c r="K21" s="155">
        <f t="shared" si="3"/>
        <v>4800</v>
      </c>
      <c r="L21" s="4">
        <v>1600</v>
      </c>
      <c r="M21" s="399">
        <v>1600</v>
      </c>
      <c r="N21" s="4">
        <v>1600</v>
      </c>
      <c r="O21" s="94">
        <v>1600</v>
      </c>
      <c r="P21" s="4">
        <v>1600</v>
      </c>
      <c r="Q21" s="94">
        <v>1600</v>
      </c>
      <c r="R21" s="4">
        <v>1600</v>
      </c>
      <c r="S21" s="94"/>
      <c r="T21" s="4">
        <v>1600</v>
      </c>
      <c r="U21" s="94"/>
      <c r="V21" s="96">
        <v>1600</v>
      </c>
      <c r="W21" s="94"/>
      <c r="X21" s="4">
        <v>1600</v>
      </c>
      <c r="Y21" s="94"/>
      <c r="Z21" s="4">
        <v>1600</v>
      </c>
      <c r="AA21" s="94"/>
      <c r="AB21" s="4">
        <v>1600</v>
      </c>
      <c r="AC21" s="94"/>
      <c r="AD21" s="4">
        <v>1600</v>
      </c>
      <c r="AE21" s="94"/>
      <c r="AF21" s="4">
        <v>1600</v>
      </c>
      <c r="AG21" s="94"/>
      <c r="AH21" s="4">
        <v>1600</v>
      </c>
      <c r="AI21" s="94"/>
      <c r="AJ21" s="97">
        <f t="shared" ref="AJ21:AK21" si="12">J21/12</f>
        <v>1600</v>
      </c>
      <c r="AK21" s="97">
        <f t="shared" si="12"/>
        <v>400</v>
      </c>
    </row>
    <row r="22" spans="1:37" ht="15.75" customHeight="1">
      <c r="A22" s="266">
        <v>400010010</v>
      </c>
      <c r="B22" s="378" t="s">
        <v>224</v>
      </c>
      <c r="C22" s="434" t="s">
        <v>1059</v>
      </c>
      <c r="D22" s="379" t="s">
        <v>1094</v>
      </c>
      <c r="E22" s="379" t="s">
        <v>1061</v>
      </c>
      <c r="F22" s="379" t="s">
        <v>102</v>
      </c>
      <c r="G22" s="379" t="s">
        <v>250</v>
      </c>
      <c r="H22" s="380" t="s">
        <v>1095</v>
      </c>
      <c r="I22" s="92" t="s">
        <v>1096</v>
      </c>
      <c r="J22" s="373">
        <f t="shared" si="11"/>
        <v>40000</v>
      </c>
      <c r="K22" s="374">
        <f t="shared" si="3"/>
        <v>0</v>
      </c>
      <c r="L22" s="4"/>
      <c r="M22" s="375"/>
      <c r="N22" s="4"/>
      <c r="O22" s="376"/>
      <c r="P22" s="4"/>
      <c r="Q22" s="94"/>
      <c r="R22" s="4">
        <v>40000</v>
      </c>
      <c r="S22" s="94"/>
      <c r="T22" s="4"/>
      <c r="U22" s="94"/>
      <c r="V22" s="96"/>
      <c r="W22" s="94"/>
      <c r="X22" s="4"/>
      <c r="Y22" s="94"/>
      <c r="Z22" s="4"/>
      <c r="AA22" s="94"/>
      <c r="AB22" s="4"/>
      <c r="AC22" s="94"/>
      <c r="AD22" s="4"/>
      <c r="AE22" s="94"/>
      <c r="AF22" s="4"/>
      <c r="AG22" s="94"/>
      <c r="AH22" s="4"/>
      <c r="AI22" s="94"/>
      <c r="AJ22" s="97">
        <f t="shared" ref="AJ22:AK22" si="13">J22/12</f>
        <v>3333.3333333333335</v>
      </c>
      <c r="AK22" s="97">
        <f t="shared" si="13"/>
        <v>0</v>
      </c>
    </row>
    <row r="23" spans="1:37" ht="15.75" customHeight="1">
      <c r="A23" s="98">
        <v>400010011</v>
      </c>
      <c r="B23" s="253" t="s">
        <v>271</v>
      </c>
      <c r="C23" s="255" t="s">
        <v>1097</v>
      </c>
      <c r="D23" s="163" t="s">
        <v>1098</v>
      </c>
      <c r="E23" s="90" t="s">
        <v>1061</v>
      </c>
      <c r="F23" s="90" t="s">
        <v>1089</v>
      </c>
      <c r="G23" s="91" t="s">
        <v>250</v>
      </c>
      <c r="H23" s="91"/>
      <c r="I23" s="392" t="s">
        <v>1099</v>
      </c>
      <c r="J23" s="93"/>
      <c r="K23" s="155">
        <v>0</v>
      </c>
      <c r="L23" s="4"/>
      <c r="M23" s="183"/>
      <c r="N23" s="4"/>
      <c r="O23" s="193"/>
      <c r="P23" s="4"/>
      <c r="Q23" s="94"/>
      <c r="R23" s="4"/>
      <c r="S23" s="94"/>
      <c r="T23" s="4"/>
      <c r="U23" s="94"/>
      <c r="V23" s="96"/>
      <c r="W23" s="94"/>
      <c r="X23" s="4"/>
      <c r="Y23" s="94"/>
      <c r="Z23" s="4"/>
      <c r="AA23" s="94"/>
      <c r="AB23" s="4"/>
      <c r="AC23" s="94"/>
      <c r="AD23" s="4"/>
      <c r="AE23" s="94"/>
      <c r="AF23" s="4"/>
      <c r="AG23" s="94"/>
      <c r="AH23" s="4"/>
      <c r="AI23" s="94"/>
      <c r="AJ23" s="97">
        <f t="shared" ref="AJ23:AK23" si="14">J23/12</f>
        <v>0</v>
      </c>
      <c r="AK23" s="97">
        <f t="shared" si="14"/>
        <v>0</v>
      </c>
    </row>
    <row r="24" spans="1:37" ht="15.75" customHeight="1">
      <c r="A24" s="98">
        <v>400010012</v>
      </c>
      <c r="B24" s="90" t="s">
        <v>1100</v>
      </c>
      <c r="C24" s="255" t="s">
        <v>1100</v>
      </c>
      <c r="D24" s="163" t="s">
        <v>1101</v>
      </c>
      <c r="E24" s="163" t="s">
        <v>1061</v>
      </c>
      <c r="F24" s="163" t="s">
        <v>102</v>
      </c>
      <c r="G24" s="91" t="s">
        <v>1062</v>
      </c>
      <c r="H24" s="91"/>
      <c r="I24" s="92" t="s">
        <v>1102</v>
      </c>
      <c r="J24" s="93">
        <f t="shared" si="11"/>
        <v>6996</v>
      </c>
      <c r="K24" s="155">
        <f t="shared" si="3"/>
        <v>1749</v>
      </c>
      <c r="L24" s="4"/>
      <c r="M24" s="183"/>
      <c r="N24" s="4"/>
      <c r="O24" s="94"/>
      <c r="P24" s="59">
        <v>1749</v>
      </c>
      <c r="Q24" s="94">
        <v>1749</v>
      </c>
      <c r="R24" s="59"/>
      <c r="S24" s="94"/>
      <c r="T24" s="4"/>
      <c r="U24" s="94"/>
      <c r="V24" s="101">
        <v>1749</v>
      </c>
      <c r="W24" s="94"/>
      <c r="X24" s="59"/>
      <c r="Y24" s="94"/>
      <c r="Z24" s="4"/>
      <c r="AA24" s="94"/>
      <c r="AB24" s="59">
        <v>1749</v>
      </c>
      <c r="AC24" s="94"/>
      <c r="AD24" s="59"/>
      <c r="AE24" s="94"/>
      <c r="AF24" s="4"/>
      <c r="AG24" s="94"/>
      <c r="AH24" s="59">
        <v>1749</v>
      </c>
      <c r="AI24" s="94"/>
      <c r="AJ24" s="97">
        <f t="shared" ref="AJ24:AK24" si="15">J24/12</f>
        <v>583</v>
      </c>
      <c r="AK24" s="97">
        <f t="shared" si="15"/>
        <v>145.75</v>
      </c>
    </row>
    <row r="25" spans="1:37" ht="15" hidden="1" customHeight="1">
      <c r="A25" s="98">
        <v>400010016</v>
      </c>
      <c r="B25" s="90" t="s">
        <v>1103</v>
      </c>
      <c r="C25" s="255" t="s">
        <v>1103</v>
      </c>
      <c r="D25" s="90" t="s">
        <v>267</v>
      </c>
      <c r="E25" s="90" t="s">
        <v>1061</v>
      </c>
      <c r="F25" s="90" t="s">
        <v>1104</v>
      </c>
      <c r="G25" s="90" t="s">
        <v>250</v>
      </c>
      <c r="H25" s="91"/>
      <c r="I25" s="92" t="s">
        <v>1105</v>
      </c>
      <c r="J25" s="93">
        <f>+AH25+AF25+AD25+AB25+Z25+X25+V25+T25+R25+P25+N25+L25</f>
        <v>12000</v>
      </c>
      <c r="K25" s="155">
        <f t="shared" si="3"/>
        <v>0</v>
      </c>
      <c r="L25" s="4"/>
      <c r="M25" s="183"/>
      <c r="N25" s="101">
        <v>12000</v>
      </c>
      <c r="O25" s="94"/>
      <c r="P25" s="101"/>
      <c r="Q25" s="94"/>
      <c r="R25" s="101"/>
      <c r="S25" s="94"/>
      <c r="T25" s="101"/>
      <c r="U25" s="94"/>
      <c r="V25" s="101"/>
      <c r="W25" s="94"/>
      <c r="X25" s="101"/>
      <c r="Y25" s="94"/>
      <c r="Z25" s="101"/>
      <c r="AA25" s="94"/>
      <c r="AB25" s="101"/>
      <c r="AC25" s="94"/>
      <c r="AD25" s="101"/>
      <c r="AE25" s="94"/>
      <c r="AF25" s="101"/>
      <c r="AG25" s="94"/>
      <c r="AH25" s="101"/>
      <c r="AI25" s="94"/>
      <c r="AJ25" s="100">
        <f t="shared" ref="AJ25:AK25" si="16">J25/12</f>
        <v>1000</v>
      </c>
      <c r="AK25" s="100">
        <f t="shared" si="16"/>
        <v>0</v>
      </c>
    </row>
    <row r="26" spans="1:37" s="209" customFormat="1" ht="15.75" customHeight="1">
      <c r="A26" s="200">
        <v>400010017</v>
      </c>
      <c r="B26" s="126" t="s">
        <v>1106</v>
      </c>
      <c r="C26" s="435" t="s">
        <v>1106</v>
      </c>
      <c r="D26" s="163" t="s">
        <v>1107</v>
      </c>
      <c r="E26" s="201" t="s">
        <v>1061</v>
      </c>
      <c r="F26" s="201" t="s">
        <v>1104</v>
      </c>
      <c r="G26" s="126" t="s">
        <v>250</v>
      </c>
      <c r="H26" s="202"/>
      <c r="I26" s="391" t="s">
        <v>1099</v>
      </c>
      <c r="J26" s="203"/>
      <c r="K26" s="204">
        <f t="shared" si="3"/>
        <v>0</v>
      </c>
      <c r="L26" s="205"/>
      <c r="M26" s="184"/>
      <c r="N26" s="206"/>
      <c r="O26" s="207"/>
      <c r="P26" s="206"/>
      <c r="Q26" s="207"/>
      <c r="R26" s="206"/>
      <c r="S26" s="207"/>
      <c r="T26" s="206"/>
      <c r="U26" s="207"/>
      <c r="V26" s="206"/>
      <c r="W26" s="207"/>
      <c r="X26" s="206"/>
      <c r="Y26" s="207"/>
      <c r="Z26" s="206"/>
      <c r="AA26" s="207"/>
      <c r="AB26" s="206"/>
      <c r="AC26" s="207"/>
      <c r="AD26" s="206"/>
      <c r="AE26" s="207"/>
      <c r="AF26" s="206"/>
      <c r="AG26" s="207"/>
      <c r="AH26" s="206">
        <v>4800</v>
      </c>
      <c r="AI26" s="207"/>
      <c r="AJ26" s="208">
        <f t="shared" ref="AJ26:AK26" si="17">J26/12</f>
        <v>0</v>
      </c>
      <c r="AK26" s="208">
        <f t="shared" si="17"/>
        <v>0</v>
      </c>
    </row>
    <row r="27" spans="1:37" ht="15.75" customHeight="1">
      <c r="A27" s="98">
        <v>400010018</v>
      </c>
      <c r="B27" s="492" t="s">
        <v>1108</v>
      </c>
      <c r="C27" s="255"/>
      <c r="D27" s="163" t="s">
        <v>1109</v>
      </c>
      <c r="E27" s="90"/>
      <c r="F27" s="90"/>
      <c r="G27" s="90" t="s">
        <v>1062</v>
      </c>
      <c r="H27" s="91"/>
      <c r="I27" s="92" t="s">
        <v>1063</v>
      </c>
      <c r="J27" s="93">
        <f t="shared" ref="J27:J43" si="18">+AH27+AF27+AD27+AB27+Z27+X27+V27+T27+R27+P27+N27+L27</f>
        <v>12000</v>
      </c>
      <c r="K27" s="155">
        <f t="shared" si="3"/>
        <v>3000</v>
      </c>
      <c r="L27" s="4">
        <v>3000</v>
      </c>
      <c r="M27" s="184">
        <v>3000</v>
      </c>
      <c r="N27" s="101"/>
      <c r="O27" s="94"/>
      <c r="P27" s="101"/>
      <c r="Q27" s="94"/>
      <c r="R27" s="101">
        <v>3000</v>
      </c>
      <c r="S27" s="94"/>
      <c r="T27" s="101"/>
      <c r="U27" s="94"/>
      <c r="V27" s="101"/>
      <c r="W27" s="94"/>
      <c r="X27" s="101">
        <v>3000</v>
      </c>
      <c r="Y27" s="94"/>
      <c r="Z27" s="101"/>
      <c r="AA27" s="94"/>
      <c r="AB27" s="101"/>
      <c r="AC27" s="94"/>
      <c r="AD27" s="101">
        <v>3000</v>
      </c>
      <c r="AE27" s="94"/>
      <c r="AF27" s="101"/>
      <c r="AG27" s="94"/>
      <c r="AH27" s="101"/>
      <c r="AI27" s="94"/>
      <c r="AJ27" s="100">
        <f t="shared" ref="AJ27:AK27" si="19">J27/12</f>
        <v>1000</v>
      </c>
      <c r="AK27" s="100">
        <f t="shared" si="19"/>
        <v>250</v>
      </c>
    </row>
    <row r="28" spans="1:37" ht="15.75" customHeight="1">
      <c r="A28" s="98"/>
      <c r="B28" s="493"/>
      <c r="C28" s="255"/>
      <c r="D28" s="163"/>
      <c r="E28" s="90"/>
      <c r="F28" s="90"/>
      <c r="G28" s="90"/>
      <c r="H28" s="91"/>
      <c r="I28" s="92"/>
      <c r="J28" s="93"/>
      <c r="K28" s="155"/>
      <c r="L28" s="4"/>
      <c r="M28" s="184"/>
      <c r="N28" s="101"/>
      <c r="O28" s="94"/>
      <c r="P28" s="101"/>
      <c r="Q28" s="94"/>
      <c r="R28" s="101"/>
      <c r="S28" s="94"/>
      <c r="T28" s="101"/>
      <c r="U28" s="94"/>
      <c r="V28" s="101"/>
      <c r="W28" s="94"/>
      <c r="X28" s="101"/>
      <c r="Y28" s="94"/>
      <c r="Z28" s="101"/>
      <c r="AA28" s="94"/>
      <c r="AB28" s="101"/>
      <c r="AC28" s="94"/>
      <c r="AD28" s="101"/>
      <c r="AE28" s="94"/>
      <c r="AF28" s="101"/>
      <c r="AG28" s="94"/>
      <c r="AH28" s="101"/>
      <c r="AI28" s="94"/>
      <c r="AJ28" s="100"/>
      <c r="AK28" s="100"/>
    </row>
    <row r="29" spans="1:37" ht="15.75" customHeight="1">
      <c r="A29" s="98">
        <v>400010019</v>
      </c>
      <c r="B29" s="172" t="s">
        <v>524</v>
      </c>
      <c r="C29" s="255" t="s">
        <v>1110</v>
      </c>
      <c r="D29" s="163" t="s">
        <v>1111</v>
      </c>
      <c r="E29" s="90" t="s">
        <v>1061</v>
      </c>
      <c r="F29" s="90" t="s">
        <v>1104</v>
      </c>
      <c r="G29" s="90" t="s">
        <v>250</v>
      </c>
      <c r="H29" s="91" t="s">
        <v>1112</v>
      </c>
      <c r="I29" s="392" t="s">
        <v>1099</v>
      </c>
      <c r="J29" s="93">
        <f t="shared" si="18"/>
        <v>4497.54</v>
      </c>
      <c r="K29" s="155">
        <f t="shared" si="3"/>
        <v>0</v>
      </c>
      <c r="L29" s="4">
        <v>4497.54</v>
      </c>
      <c r="M29" s="184"/>
      <c r="N29" s="101"/>
      <c r="O29" s="94"/>
      <c r="P29" s="101"/>
      <c r="Q29" s="94"/>
      <c r="R29" s="101"/>
      <c r="S29" s="94"/>
      <c r="T29" s="101"/>
      <c r="U29" s="94"/>
      <c r="V29" s="101"/>
      <c r="W29" s="94"/>
      <c r="X29" s="101"/>
      <c r="Y29" s="94"/>
      <c r="Z29" s="101"/>
      <c r="AA29" s="94"/>
      <c r="AB29" s="101"/>
      <c r="AC29" s="94"/>
      <c r="AD29" s="101"/>
      <c r="AE29" s="94"/>
      <c r="AF29" s="101"/>
      <c r="AG29" s="94"/>
      <c r="AH29" s="101"/>
      <c r="AI29" s="94"/>
      <c r="AJ29" s="100">
        <f t="shared" ref="AJ29:AK29" si="20">J29/12</f>
        <v>374.79500000000002</v>
      </c>
      <c r="AK29" s="100">
        <f t="shared" si="20"/>
        <v>0</v>
      </c>
    </row>
    <row r="30" spans="1:37" ht="15.75" customHeight="1">
      <c r="A30" s="261">
        <v>400010021</v>
      </c>
      <c r="B30" s="377" t="s">
        <v>1113</v>
      </c>
      <c r="C30" s="436" t="s">
        <v>1113</v>
      </c>
      <c r="D30" s="381" t="s">
        <v>1114</v>
      </c>
      <c r="E30" s="377"/>
      <c r="F30" s="377"/>
      <c r="G30" s="377"/>
      <c r="H30" s="382"/>
      <c r="I30" s="392" t="s">
        <v>1115</v>
      </c>
      <c r="J30" s="93">
        <v>8025</v>
      </c>
      <c r="K30" s="155">
        <v>8025</v>
      </c>
      <c r="L30" s="4"/>
      <c r="M30" s="183"/>
      <c r="N30" s="101"/>
      <c r="O30" s="94"/>
      <c r="P30" s="101">
        <v>6000</v>
      </c>
      <c r="Q30" s="94"/>
      <c r="R30" s="101"/>
      <c r="S30" s="94"/>
      <c r="T30" s="101"/>
      <c r="U30" s="94"/>
      <c r="V30" s="101"/>
      <c r="W30" s="94"/>
      <c r="X30" s="101"/>
      <c r="Y30" s="94"/>
      <c r="Z30" s="101"/>
      <c r="AA30" s="94"/>
      <c r="AB30" s="101"/>
      <c r="AC30" s="94"/>
      <c r="AD30" s="101"/>
      <c r="AE30" s="94"/>
      <c r="AF30" s="101"/>
      <c r="AG30" s="94"/>
      <c r="AH30" s="101"/>
      <c r="AI30" s="94"/>
      <c r="AJ30" s="100">
        <f t="shared" ref="AJ30:AK30" si="21">J30/12</f>
        <v>668.75</v>
      </c>
      <c r="AK30" s="100">
        <f t="shared" si="21"/>
        <v>668.75</v>
      </c>
    </row>
    <row r="31" spans="1:37" ht="15.75" customHeight="1">
      <c r="A31" s="98">
        <v>400010022</v>
      </c>
      <c r="B31" s="90" t="s">
        <v>1116</v>
      </c>
      <c r="C31" s="255" t="s">
        <v>1116</v>
      </c>
      <c r="D31" s="163" t="s">
        <v>1117</v>
      </c>
      <c r="E31" s="429"/>
      <c r="F31" s="163"/>
      <c r="G31" s="90" t="s">
        <v>250</v>
      </c>
      <c r="H31" s="91"/>
      <c r="I31" s="102" t="s">
        <v>1063</v>
      </c>
      <c r="J31" s="93">
        <f>+AH31+AF31+AD31+AB31+Z31+X31+V31+T31+R31+P31+N31+L31</f>
        <v>20400</v>
      </c>
      <c r="K31" s="155">
        <f t="shared" si="3"/>
        <v>0</v>
      </c>
      <c r="L31" s="4">
        <v>10200</v>
      </c>
      <c r="M31" s="183"/>
      <c r="N31" s="60"/>
      <c r="O31" s="94"/>
      <c r="P31" s="60"/>
      <c r="Q31" s="94"/>
      <c r="R31" s="101">
        <v>10200</v>
      </c>
      <c r="S31" s="94"/>
      <c r="T31" s="60"/>
      <c r="U31" s="94"/>
      <c r="V31" s="60"/>
      <c r="W31" s="94"/>
      <c r="X31" s="60"/>
      <c r="Y31" s="94"/>
      <c r="Z31" s="101"/>
      <c r="AA31" s="94"/>
      <c r="AB31" s="101"/>
      <c r="AC31" s="94"/>
      <c r="AD31" s="101"/>
      <c r="AE31" s="94"/>
      <c r="AF31" s="101"/>
      <c r="AG31" s="94"/>
      <c r="AH31" s="101"/>
      <c r="AI31" s="94"/>
      <c r="AJ31" s="100">
        <f t="shared" ref="AJ31:AK31" si="22">J31/12</f>
        <v>1700</v>
      </c>
      <c r="AK31" s="100">
        <f t="shared" si="22"/>
        <v>0</v>
      </c>
    </row>
    <row r="32" spans="1:37" ht="15.75" customHeight="1">
      <c r="A32" s="483">
        <v>400010024</v>
      </c>
      <c r="B32" s="488" t="s">
        <v>1118</v>
      </c>
      <c r="C32" s="486" t="s">
        <v>1119</v>
      </c>
      <c r="D32" s="428" t="s">
        <v>1120</v>
      </c>
      <c r="E32" s="273" t="s">
        <v>1061</v>
      </c>
      <c r="F32" s="90" t="s">
        <v>1121</v>
      </c>
      <c r="G32" s="254" t="s">
        <v>1122</v>
      </c>
      <c r="H32" s="91" t="s">
        <v>1123</v>
      </c>
      <c r="I32" s="393" t="s">
        <v>1124</v>
      </c>
      <c r="J32" s="93">
        <v>9000</v>
      </c>
      <c r="K32" s="155">
        <f t="shared" si="3"/>
        <v>4500</v>
      </c>
      <c r="L32" s="4"/>
      <c r="M32" s="184"/>
      <c r="N32" s="101">
        <v>4500</v>
      </c>
      <c r="O32" s="94">
        <v>4500</v>
      </c>
      <c r="P32" s="101"/>
      <c r="Q32" s="94"/>
      <c r="R32" s="101"/>
      <c r="S32" s="94"/>
      <c r="T32" s="101">
        <v>4500</v>
      </c>
      <c r="U32" s="94"/>
      <c r="V32" s="101"/>
      <c r="W32" s="94"/>
      <c r="X32" s="101"/>
      <c r="Y32" s="94"/>
      <c r="Z32" s="101"/>
      <c r="AA32" s="94"/>
      <c r="AB32" s="101"/>
      <c r="AC32" s="94"/>
      <c r="AD32" s="101"/>
      <c r="AE32" s="94"/>
      <c r="AF32" s="101"/>
      <c r="AG32" s="94"/>
      <c r="AH32" s="101"/>
      <c r="AI32" s="94"/>
      <c r="AJ32" s="100">
        <f t="shared" ref="AJ32:AK32" si="23">J32/12</f>
        <v>750</v>
      </c>
      <c r="AK32" s="100">
        <f t="shared" si="23"/>
        <v>375</v>
      </c>
    </row>
    <row r="33" spans="1:37" ht="15.75" customHeight="1">
      <c r="A33" s="484"/>
      <c r="B33" s="489"/>
      <c r="C33" s="487"/>
      <c r="D33" s="428" t="s">
        <v>1125</v>
      </c>
      <c r="E33" s="273"/>
      <c r="F33" s="90"/>
      <c r="G33" s="254"/>
      <c r="H33" s="91"/>
      <c r="I33" s="102" t="s">
        <v>1073</v>
      </c>
      <c r="J33" s="93">
        <v>25000</v>
      </c>
      <c r="K33" s="155"/>
      <c r="L33" s="4"/>
      <c r="M33" s="184"/>
      <c r="N33" s="101"/>
      <c r="O33" s="94"/>
      <c r="P33" s="101"/>
      <c r="Q33" s="94"/>
      <c r="R33" s="101"/>
      <c r="S33" s="94"/>
      <c r="T33" s="101"/>
      <c r="U33" s="94"/>
      <c r="V33" s="101"/>
      <c r="W33" s="94"/>
      <c r="X33" s="101">
        <v>25000</v>
      </c>
      <c r="Y33" s="94"/>
      <c r="Z33" s="101"/>
      <c r="AA33" s="94"/>
      <c r="AB33" s="101"/>
      <c r="AC33" s="94"/>
      <c r="AD33" s="101"/>
      <c r="AE33" s="94"/>
      <c r="AF33" s="101"/>
      <c r="AG33" s="94"/>
      <c r="AH33" s="101"/>
      <c r="AI33" s="94"/>
      <c r="AJ33" s="100"/>
      <c r="AK33" s="100"/>
    </row>
    <row r="34" spans="1:37" ht="15.75" customHeight="1">
      <c r="A34" s="484"/>
      <c r="B34" s="489"/>
      <c r="C34" s="481" t="s">
        <v>1126</v>
      </c>
      <c r="D34" s="267"/>
      <c r="E34" s="425" t="s">
        <v>1061</v>
      </c>
      <c r="F34" s="91" t="s">
        <v>1121</v>
      </c>
      <c r="G34" s="91" t="s">
        <v>1062</v>
      </c>
      <c r="H34" s="91" t="s">
        <v>1127</v>
      </c>
      <c r="I34" s="102" t="s">
        <v>1091</v>
      </c>
      <c r="J34" s="93">
        <f t="shared" si="18"/>
        <v>25000</v>
      </c>
      <c r="K34" s="155">
        <f t="shared" si="3"/>
        <v>6250</v>
      </c>
      <c r="L34" s="4">
        <v>6250</v>
      </c>
      <c r="M34" s="184">
        <v>6250</v>
      </c>
      <c r="N34" s="101"/>
      <c r="O34" s="94"/>
      <c r="P34" s="101"/>
      <c r="Q34" s="94"/>
      <c r="R34" s="101">
        <v>6250</v>
      </c>
      <c r="S34" s="94"/>
      <c r="T34" s="101"/>
      <c r="U34" s="94"/>
      <c r="V34" s="101"/>
      <c r="W34" s="94"/>
      <c r="X34" s="101">
        <v>6250</v>
      </c>
      <c r="Y34" s="94"/>
      <c r="Z34" s="101"/>
      <c r="AA34" s="94"/>
      <c r="AB34" s="101"/>
      <c r="AC34" s="94"/>
      <c r="AD34" s="101">
        <v>6250</v>
      </c>
      <c r="AE34" s="94"/>
      <c r="AF34" s="101"/>
      <c r="AG34" s="94"/>
      <c r="AH34" s="101"/>
      <c r="AI34" s="94"/>
      <c r="AJ34" s="100">
        <f t="shared" ref="AJ34:AK34" si="24">J34/12</f>
        <v>2083.3333333333335</v>
      </c>
      <c r="AK34" s="100">
        <f t="shared" si="24"/>
        <v>520.83333333333337</v>
      </c>
    </row>
    <row r="35" spans="1:37" ht="26.45">
      <c r="A35" s="485"/>
      <c r="B35" s="489"/>
      <c r="C35" s="491"/>
      <c r="D35" s="268"/>
      <c r="E35" s="90"/>
      <c r="F35" s="255" t="s">
        <v>1128</v>
      </c>
      <c r="G35" s="90" t="s">
        <v>1129</v>
      </c>
      <c r="H35" s="91"/>
      <c r="I35" s="102"/>
      <c r="J35" s="93">
        <v>40000</v>
      </c>
      <c r="K35" s="155"/>
      <c r="L35" s="4"/>
      <c r="M35" s="184"/>
      <c r="N35" s="101"/>
      <c r="O35" s="94"/>
      <c r="P35" s="101"/>
      <c r="Q35" s="94"/>
      <c r="R35" s="101">
        <v>40000</v>
      </c>
      <c r="S35" s="94"/>
      <c r="T35" s="101"/>
      <c r="U35" s="94"/>
      <c r="V35" s="101"/>
      <c r="W35" s="94"/>
      <c r="X35" s="101"/>
      <c r="Y35" s="94"/>
      <c r="Z35" s="101"/>
      <c r="AA35" s="94"/>
      <c r="AB35" s="101"/>
      <c r="AC35" s="94"/>
      <c r="AD35" s="101"/>
      <c r="AE35" s="94"/>
      <c r="AF35" s="101"/>
      <c r="AG35" s="94"/>
      <c r="AH35" s="101"/>
      <c r="AI35" s="94"/>
      <c r="AJ35" s="100"/>
      <c r="AK35" s="100"/>
    </row>
    <row r="36" spans="1:37" ht="52.9">
      <c r="A36" s="262"/>
      <c r="B36" s="490"/>
      <c r="C36" s="482"/>
      <c r="D36" s="370"/>
      <c r="E36" s="90"/>
      <c r="F36" s="371" t="s">
        <v>1130</v>
      </c>
      <c r="G36" s="90" t="s">
        <v>1129</v>
      </c>
      <c r="H36" s="91"/>
      <c r="I36" s="102"/>
      <c r="J36" s="93">
        <v>40000</v>
      </c>
      <c r="K36" s="155"/>
      <c r="L36" s="4"/>
      <c r="M36" s="184"/>
      <c r="N36" s="101"/>
      <c r="O36" s="94"/>
      <c r="P36" s="101">
        <v>8000</v>
      </c>
      <c r="Q36" s="94">
        <v>8000</v>
      </c>
      <c r="R36" s="101"/>
      <c r="S36" s="94"/>
      <c r="T36" s="101"/>
      <c r="U36" s="94"/>
      <c r="V36" s="101"/>
      <c r="W36" s="94"/>
      <c r="X36" s="101"/>
      <c r="Y36" s="94"/>
      <c r="Z36" s="101"/>
      <c r="AA36" s="94"/>
      <c r="AB36" s="101"/>
      <c r="AC36" s="94"/>
      <c r="AD36" s="101"/>
      <c r="AE36" s="94"/>
      <c r="AF36" s="101"/>
      <c r="AG36" s="94"/>
      <c r="AH36" s="101">
        <v>32000</v>
      </c>
      <c r="AI36" s="94">
        <v>32000</v>
      </c>
      <c r="AJ36" s="100"/>
      <c r="AK36" s="100"/>
    </row>
    <row r="37" spans="1:37" ht="15.75" customHeight="1">
      <c r="A37" s="98">
        <v>400010026</v>
      </c>
      <c r="B37" s="90" t="s">
        <v>1131</v>
      </c>
      <c r="C37" s="255" t="s">
        <v>1132</v>
      </c>
      <c r="D37" s="90" t="s">
        <v>1133</v>
      </c>
      <c r="E37" s="90" t="s">
        <v>1061</v>
      </c>
      <c r="F37" s="90" t="s">
        <v>1104</v>
      </c>
      <c r="G37" s="90" t="s">
        <v>250</v>
      </c>
      <c r="H37" s="91" t="s">
        <v>1134</v>
      </c>
      <c r="I37" s="390" t="s">
        <v>1135</v>
      </c>
      <c r="J37" s="93">
        <f t="shared" si="18"/>
        <v>6000</v>
      </c>
      <c r="K37" s="155">
        <f t="shared" si="3"/>
        <v>0</v>
      </c>
      <c r="L37" s="4"/>
      <c r="M37" s="183"/>
      <c r="N37" s="101"/>
      <c r="O37" s="94"/>
      <c r="P37" s="101">
        <v>6000</v>
      </c>
      <c r="Q37" s="94"/>
      <c r="R37" s="101"/>
      <c r="S37" s="94"/>
      <c r="T37" s="101"/>
      <c r="U37" s="94"/>
      <c r="V37" s="101"/>
      <c r="W37" s="94"/>
      <c r="X37" s="101"/>
      <c r="Y37" s="94"/>
      <c r="Z37" s="101"/>
      <c r="AA37" s="94"/>
      <c r="AB37" s="101"/>
      <c r="AC37" s="94"/>
      <c r="AD37" s="101"/>
      <c r="AE37" s="94"/>
      <c r="AF37" s="101"/>
      <c r="AG37" s="94"/>
      <c r="AH37" s="101"/>
      <c r="AI37" s="94"/>
      <c r="AJ37" s="100">
        <f t="shared" ref="AJ37:AK37" si="25">J37/12</f>
        <v>500</v>
      </c>
      <c r="AK37" s="100">
        <f t="shared" si="25"/>
        <v>0</v>
      </c>
    </row>
    <row r="38" spans="1:37" ht="15.75" customHeight="1">
      <c r="A38" s="98">
        <v>400010029</v>
      </c>
      <c r="B38" s="90" t="s">
        <v>1136</v>
      </c>
      <c r="C38" s="255" t="s">
        <v>1137</v>
      </c>
      <c r="D38" s="90" t="s">
        <v>1138</v>
      </c>
      <c r="E38" s="90" t="s">
        <v>1061</v>
      </c>
      <c r="F38" s="90" t="s">
        <v>1139</v>
      </c>
      <c r="G38" s="90" t="s">
        <v>250</v>
      </c>
      <c r="H38" s="91"/>
      <c r="I38" s="390" t="s">
        <v>1140</v>
      </c>
      <c r="J38" s="93">
        <f t="shared" si="18"/>
        <v>15000</v>
      </c>
      <c r="K38" s="155">
        <f t="shared" si="3"/>
        <v>0</v>
      </c>
      <c r="L38" s="4"/>
      <c r="M38" s="183"/>
      <c r="N38" s="101"/>
      <c r="O38" s="94"/>
      <c r="P38" s="101"/>
      <c r="Q38" s="94"/>
      <c r="R38" s="101">
        <v>15000</v>
      </c>
      <c r="S38" s="94"/>
      <c r="T38" s="101"/>
      <c r="U38" s="94"/>
      <c r="V38" s="101"/>
      <c r="W38" s="94"/>
      <c r="X38" s="101"/>
      <c r="Y38" s="94"/>
      <c r="Z38" s="101"/>
      <c r="AA38" s="94"/>
      <c r="AB38" s="101"/>
      <c r="AC38" s="94"/>
      <c r="AD38" s="101"/>
      <c r="AE38" s="94"/>
      <c r="AF38" s="101"/>
      <c r="AG38" s="94"/>
      <c r="AH38" s="101"/>
      <c r="AI38" s="94"/>
      <c r="AJ38" s="100">
        <f t="shared" ref="AJ38:AK38" si="26">J38/12</f>
        <v>1250</v>
      </c>
      <c r="AK38" s="100">
        <f t="shared" si="26"/>
        <v>0</v>
      </c>
    </row>
    <row r="39" spans="1:37" ht="13.15" customHeight="1">
      <c r="A39" s="98">
        <v>400010031</v>
      </c>
      <c r="B39" s="492" t="s">
        <v>1141</v>
      </c>
      <c r="C39" s="255" t="s">
        <v>1141</v>
      </c>
      <c r="D39" s="163" t="s">
        <v>1142</v>
      </c>
      <c r="E39" s="90" t="s">
        <v>1061</v>
      </c>
      <c r="F39" s="90" t="s">
        <v>1104</v>
      </c>
      <c r="G39" s="90" t="s">
        <v>250</v>
      </c>
      <c r="H39" s="91" t="s">
        <v>1143</v>
      </c>
      <c r="I39" s="393" t="s">
        <v>1144</v>
      </c>
      <c r="J39" s="93">
        <v>29000</v>
      </c>
      <c r="K39" s="155">
        <f t="shared" si="3"/>
        <v>29000</v>
      </c>
      <c r="L39" s="4"/>
      <c r="M39" s="183"/>
      <c r="N39" s="101">
        <v>29000</v>
      </c>
      <c r="O39" s="94">
        <v>29000</v>
      </c>
      <c r="P39" s="101"/>
      <c r="Q39" s="94"/>
      <c r="R39" s="101"/>
      <c r="S39" s="94"/>
      <c r="T39" s="101"/>
      <c r="U39" s="94"/>
      <c r="V39" s="101"/>
      <c r="W39" s="94"/>
      <c r="X39" s="101"/>
      <c r="Y39" s="94"/>
      <c r="Z39" s="101"/>
      <c r="AA39" s="94"/>
      <c r="AB39" s="101"/>
      <c r="AC39" s="94"/>
      <c r="AD39" s="101"/>
      <c r="AE39" s="94"/>
      <c r="AF39" s="101"/>
      <c r="AG39" s="94"/>
      <c r="AH39" s="101"/>
      <c r="AI39" s="94"/>
      <c r="AJ39" s="100">
        <f t="shared" ref="AJ39:AK39" si="27">J39/12</f>
        <v>2416.6666666666665</v>
      </c>
      <c r="AK39" s="100">
        <f t="shared" si="27"/>
        <v>2416.6666666666665</v>
      </c>
    </row>
    <row r="40" spans="1:37" ht="13.15" customHeight="1">
      <c r="A40" s="98"/>
      <c r="B40" s="493"/>
      <c r="C40" s="255" t="s">
        <v>1145</v>
      </c>
      <c r="D40" s="163" t="s">
        <v>1146</v>
      </c>
      <c r="E40" s="90"/>
      <c r="F40" s="90"/>
      <c r="G40" s="90"/>
      <c r="H40" s="91"/>
      <c r="I40" s="164" t="s">
        <v>1073</v>
      </c>
      <c r="J40" s="93">
        <v>7500</v>
      </c>
      <c r="K40" s="155"/>
      <c r="L40" s="4"/>
      <c r="M40" s="183"/>
      <c r="N40" s="101"/>
      <c r="O40" s="94"/>
      <c r="P40" s="101"/>
      <c r="Q40" s="94"/>
      <c r="R40" s="101"/>
      <c r="S40" s="94"/>
      <c r="T40" s="101"/>
      <c r="U40" s="94"/>
      <c r="V40" s="101"/>
      <c r="W40" s="94"/>
      <c r="X40" s="101"/>
      <c r="Y40" s="94"/>
      <c r="Z40" s="101">
        <v>7500</v>
      </c>
      <c r="AA40" s="94"/>
      <c r="AB40" s="101"/>
      <c r="AC40" s="94"/>
      <c r="AD40" s="101"/>
      <c r="AE40" s="94"/>
      <c r="AF40" s="101"/>
      <c r="AG40" s="94"/>
      <c r="AH40" s="101"/>
      <c r="AI40" s="94"/>
      <c r="AJ40" s="100"/>
      <c r="AK40" s="100"/>
    </row>
    <row r="41" spans="1:37" ht="13.15" customHeight="1">
      <c r="A41" s="98"/>
      <c r="B41" s="493"/>
      <c r="C41" s="255" t="s">
        <v>1147</v>
      </c>
      <c r="D41" s="163"/>
      <c r="E41" s="90"/>
      <c r="F41" s="90"/>
      <c r="G41" s="90"/>
      <c r="H41" s="91"/>
      <c r="I41" s="164" t="s">
        <v>1073</v>
      </c>
      <c r="J41" s="93">
        <v>5000</v>
      </c>
      <c r="K41" s="155"/>
      <c r="L41" s="4"/>
      <c r="M41" s="183"/>
      <c r="N41" s="101"/>
      <c r="O41" s="94"/>
      <c r="P41" s="101"/>
      <c r="Q41" s="94"/>
      <c r="R41" s="101"/>
      <c r="S41" s="94"/>
      <c r="T41" s="101"/>
      <c r="U41" s="94"/>
      <c r="V41" s="101"/>
      <c r="W41" s="94"/>
      <c r="X41" s="101"/>
      <c r="Y41" s="94"/>
      <c r="Z41" s="101"/>
      <c r="AA41" s="94"/>
      <c r="AB41" s="101"/>
      <c r="AC41" s="94"/>
      <c r="AD41" s="101"/>
      <c r="AE41" s="94"/>
      <c r="AF41" s="101"/>
      <c r="AG41" s="94"/>
      <c r="AH41" s="101"/>
      <c r="AI41" s="94"/>
      <c r="AJ41" s="100"/>
      <c r="AK41" s="100"/>
    </row>
    <row r="42" spans="1:37" ht="13.15">
      <c r="A42" s="98"/>
      <c r="B42" s="494"/>
      <c r="C42" s="255" t="s">
        <v>1148</v>
      </c>
      <c r="D42" s="163"/>
      <c r="E42" s="90"/>
      <c r="F42" s="90"/>
      <c r="G42" s="90"/>
      <c r="H42" s="91"/>
      <c r="I42" s="164" t="s">
        <v>1073</v>
      </c>
      <c r="J42" s="93">
        <v>15000</v>
      </c>
      <c r="K42" s="155"/>
      <c r="L42" s="4"/>
      <c r="M42" s="183"/>
      <c r="N42" s="101"/>
      <c r="O42" s="94"/>
      <c r="P42" s="101"/>
      <c r="Q42" s="94"/>
      <c r="R42" s="101"/>
      <c r="S42" s="94"/>
      <c r="T42" s="101"/>
      <c r="U42" s="94"/>
      <c r="V42" s="101"/>
      <c r="W42" s="94"/>
      <c r="X42" s="101"/>
      <c r="Y42" s="94"/>
      <c r="Z42" s="101"/>
      <c r="AA42" s="94"/>
      <c r="AB42" s="101"/>
      <c r="AC42" s="94"/>
      <c r="AD42" s="101">
        <v>15000</v>
      </c>
      <c r="AE42" s="94"/>
      <c r="AF42" s="101"/>
      <c r="AG42" s="94"/>
      <c r="AH42" s="101"/>
      <c r="AI42" s="94"/>
      <c r="AJ42" s="100"/>
      <c r="AK42" s="100"/>
    </row>
    <row r="43" spans="1:37" ht="13.15" hidden="1">
      <c r="A43" s="98">
        <v>400010035</v>
      </c>
      <c r="B43" s="90" t="s">
        <v>1149</v>
      </c>
      <c r="C43" s="255" t="s">
        <v>1149</v>
      </c>
      <c r="D43" s="90" t="s">
        <v>1150</v>
      </c>
      <c r="E43" s="90" t="s">
        <v>1061</v>
      </c>
      <c r="F43" s="90" t="s">
        <v>102</v>
      </c>
      <c r="G43" s="255" t="s">
        <v>1090</v>
      </c>
      <c r="H43" s="91" t="s">
        <v>1151</v>
      </c>
      <c r="I43" s="393" t="s">
        <v>1152</v>
      </c>
      <c r="J43" s="93">
        <f t="shared" si="18"/>
        <v>5600</v>
      </c>
      <c r="K43" s="155">
        <f t="shared" si="3"/>
        <v>0</v>
      </c>
      <c r="L43" s="4"/>
      <c r="M43" s="183"/>
      <c r="N43" s="101"/>
      <c r="O43" s="94"/>
      <c r="P43" s="101"/>
      <c r="Q43" s="94"/>
      <c r="R43" s="101"/>
      <c r="S43" s="94"/>
      <c r="T43" s="101"/>
      <c r="U43" s="94"/>
      <c r="V43" s="101"/>
      <c r="W43" s="94"/>
      <c r="X43" s="101"/>
      <c r="Y43" s="94"/>
      <c r="Z43" s="101"/>
      <c r="AA43" s="94"/>
      <c r="AB43" s="101">
        <v>5600</v>
      </c>
      <c r="AC43" s="94"/>
      <c r="AD43" s="101"/>
      <c r="AE43" s="94"/>
      <c r="AF43" s="101"/>
      <c r="AG43" s="94"/>
      <c r="AH43" s="101"/>
      <c r="AI43" s="94"/>
      <c r="AJ43" s="100">
        <f t="shared" ref="AJ43:AK43" si="28">J43/12</f>
        <v>466.66666666666669</v>
      </c>
      <c r="AK43" s="100">
        <f t="shared" si="28"/>
        <v>0</v>
      </c>
    </row>
    <row r="44" spans="1:37" s="187" customFormat="1" ht="15.75" hidden="1" customHeight="1">
      <c r="A44" s="103">
        <v>400010037</v>
      </c>
      <c r="B44" s="90" t="s">
        <v>1153</v>
      </c>
      <c r="C44" s="255" t="s">
        <v>1149</v>
      </c>
      <c r="D44" s="90"/>
      <c r="E44" s="104"/>
      <c r="F44" s="90" t="s">
        <v>1139</v>
      </c>
      <c r="G44" s="255" t="s">
        <v>1154</v>
      </c>
      <c r="H44" s="190"/>
      <c r="I44" s="394"/>
      <c r="J44" s="191">
        <v>5600</v>
      </c>
      <c r="K44" s="192">
        <f t="shared" si="3"/>
        <v>0</v>
      </c>
      <c r="L44" s="105"/>
      <c r="M44" s="183"/>
      <c r="N44" s="60"/>
      <c r="O44" s="193"/>
      <c r="P44" s="60"/>
      <c r="Q44" s="193"/>
      <c r="R44" s="60"/>
      <c r="S44" s="193"/>
      <c r="T44" s="60"/>
      <c r="U44" s="193"/>
      <c r="V44" s="60"/>
      <c r="W44" s="193"/>
      <c r="X44" s="60"/>
      <c r="Y44" s="193"/>
      <c r="Z44" s="60"/>
      <c r="AA44" s="193"/>
      <c r="AB44" s="60"/>
      <c r="AC44" s="193"/>
      <c r="AD44" s="60"/>
      <c r="AE44" s="193"/>
      <c r="AF44" s="60"/>
      <c r="AG44" s="193"/>
      <c r="AH44" s="60">
        <v>8000</v>
      </c>
      <c r="AI44" s="193"/>
      <c r="AJ44" s="106">
        <f t="shared" ref="AJ44:AK44" si="29">J44/12</f>
        <v>466.66666666666669</v>
      </c>
      <c r="AK44" s="106">
        <f t="shared" si="29"/>
        <v>0</v>
      </c>
    </row>
    <row r="45" spans="1:37" ht="15.75" hidden="1" customHeight="1">
      <c r="A45" s="189">
        <v>400010038</v>
      </c>
      <c r="B45" s="104" t="s">
        <v>1155</v>
      </c>
      <c r="C45" s="437" t="s">
        <v>1156</v>
      </c>
      <c r="D45" s="90"/>
      <c r="E45" s="90"/>
      <c r="F45" s="90"/>
      <c r="G45" s="255" t="s">
        <v>1154</v>
      </c>
      <c r="H45" s="91"/>
      <c r="I45" s="91" t="s">
        <v>1157</v>
      </c>
      <c r="J45" s="93">
        <f t="shared" ref="J45:J100" si="30">+AH45+AF45+AD45+AB45+Z45+X45+V45+T45+R45+P45+N45+L45</f>
        <v>0</v>
      </c>
      <c r="K45" s="155">
        <f t="shared" si="3"/>
        <v>0</v>
      </c>
      <c r="L45" s="4"/>
      <c r="M45" s="183"/>
      <c r="N45" s="101"/>
      <c r="O45" s="94"/>
      <c r="P45" s="101"/>
      <c r="Q45" s="94"/>
      <c r="R45" s="101"/>
      <c r="S45" s="94"/>
      <c r="T45" s="101"/>
      <c r="U45" s="94"/>
      <c r="V45" s="101"/>
      <c r="W45" s="94"/>
      <c r="X45" s="101"/>
      <c r="Y45" s="94"/>
      <c r="Z45" s="101"/>
      <c r="AA45" s="94"/>
      <c r="AB45" s="101"/>
      <c r="AC45" s="94"/>
      <c r="AD45" s="101"/>
      <c r="AE45" s="94"/>
      <c r="AF45" s="101"/>
      <c r="AG45" s="94"/>
      <c r="AH45" s="101"/>
      <c r="AI45" s="94"/>
      <c r="AJ45" s="100">
        <f t="shared" ref="AJ45:AK45" si="31">J45/12</f>
        <v>0</v>
      </c>
      <c r="AK45" s="100">
        <f t="shared" si="31"/>
        <v>0</v>
      </c>
    </row>
    <row r="46" spans="1:37" ht="15.75" customHeight="1">
      <c r="A46" s="98">
        <v>400010040</v>
      </c>
      <c r="B46" s="90" t="s">
        <v>1158</v>
      </c>
      <c r="C46" s="255" t="s">
        <v>1159</v>
      </c>
      <c r="D46" s="90" t="s">
        <v>1160</v>
      </c>
      <c r="E46" s="90"/>
      <c r="F46" s="90"/>
      <c r="G46" s="90" t="s">
        <v>1090</v>
      </c>
      <c r="H46" s="91" t="s">
        <v>1161</v>
      </c>
      <c r="I46" s="393" t="s">
        <v>1162</v>
      </c>
      <c r="J46" s="93">
        <f t="shared" si="30"/>
        <v>6000</v>
      </c>
      <c r="K46" s="155">
        <f t="shared" si="3"/>
        <v>0</v>
      </c>
      <c r="L46" s="4"/>
      <c r="M46" s="183"/>
      <c r="N46" s="101"/>
      <c r="O46" s="94"/>
      <c r="P46" s="101"/>
      <c r="Q46" s="94"/>
      <c r="R46" s="101"/>
      <c r="S46" s="94"/>
      <c r="T46" s="101"/>
      <c r="U46" s="94"/>
      <c r="V46" s="60"/>
      <c r="W46" s="94"/>
      <c r="X46" s="101">
        <v>6000</v>
      </c>
      <c r="Y46" s="94"/>
      <c r="Z46" s="101"/>
      <c r="AA46" s="94"/>
      <c r="AB46" s="101"/>
      <c r="AC46" s="94"/>
      <c r="AD46" s="101"/>
      <c r="AE46" s="94"/>
      <c r="AF46" s="101"/>
      <c r="AG46" s="94"/>
      <c r="AH46" s="101"/>
      <c r="AI46" s="94"/>
      <c r="AJ46" s="100">
        <f t="shared" ref="AJ46:AK46" si="32">J46/12</f>
        <v>500</v>
      </c>
      <c r="AK46" s="100">
        <f t="shared" si="32"/>
        <v>0</v>
      </c>
    </row>
    <row r="47" spans="1:37" ht="15.75" customHeight="1">
      <c r="A47" s="311">
        <v>400010041</v>
      </c>
      <c r="B47" s="492" t="s">
        <v>266</v>
      </c>
      <c r="C47" s="255" t="s">
        <v>1163</v>
      </c>
      <c r="D47" s="90"/>
      <c r="E47" s="90" t="s">
        <v>1061</v>
      </c>
      <c r="F47" s="90" t="s">
        <v>1104</v>
      </c>
      <c r="G47" s="255" t="s">
        <v>1164</v>
      </c>
      <c r="H47" s="91"/>
      <c r="I47" s="393" t="s">
        <v>1165</v>
      </c>
      <c r="J47" s="93">
        <f t="shared" si="30"/>
        <v>9800</v>
      </c>
      <c r="K47" s="155">
        <f t="shared" si="3"/>
        <v>0</v>
      </c>
      <c r="L47" s="4">
        <v>9800</v>
      </c>
      <c r="M47" s="184"/>
      <c r="N47" s="101"/>
      <c r="O47" s="94"/>
      <c r="P47" s="101"/>
      <c r="Q47" s="94"/>
      <c r="R47" s="101"/>
      <c r="S47" s="94"/>
      <c r="T47" s="101"/>
      <c r="U47" s="94"/>
      <c r="V47" s="60"/>
      <c r="W47" s="94"/>
      <c r="X47" s="101"/>
      <c r="Y47" s="94"/>
      <c r="Z47" s="101"/>
      <c r="AA47" s="94"/>
      <c r="AB47" s="101"/>
      <c r="AC47" s="94"/>
      <c r="AD47" s="101"/>
      <c r="AE47" s="94"/>
      <c r="AF47" s="101"/>
      <c r="AG47" s="94"/>
      <c r="AH47" s="101"/>
      <c r="AI47" s="94"/>
      <c r="AJ47" s="100">
        <f t="shared" ref="AJ47:AK47" si="33">J47/12</f>
        <v>816.66666666666663</v>
      </c>
      <c r="AK47" s="100">
        <f t="shared" si="33"/>
        <v>0</v>
      </c>
    </row>
    <row r="48" spans="1:37" ht="15.75" customHeight="1">
      <c r="A48" s="312"/>
      <c r="B48" s="493"/>
      <c r="C48" s="255" t="s">
        <v>1166</v>
      </c>
      <c r="D48" s="90"/>
      <c r="E48" s="90" t="s">
        <v>1061</v>
      </c>
      <c r="F48" s="90" t="s">
        <v>1104</v>
      </c>
      <c r="G48" s="255" t="s">
        <v>1164</v>
      </c>
      <c r="H48" s="91"/>
      <c r="I48" s="393" t="s">
        <v>1165</v>
      </c>
      <c r="J48" s="93"/>
      <c r="K48" s="155"/>
      <c r="L48" s="4"/>
      <c r="M48" s="184"/>
      <c r="N48" s="101"/>
      <c r="O48" s="94"/>
      <c r="P48" s="101"/>
      <c r="Q48" s="94"/>
      <c r="R48" s="101"/>
      <c r="S48" s="94"/>
      <c r="T48" s="101"/>
      <c r="U48" s="94"/>
      <c r="V48" s="60"/>
      <c r="W48" s="94"/>
      <c r="X48" s="101"/>
      <c r="Y48" s="94"/>
      <c r="Z48" s="101"/>
      <c r="AA48" s="94"/>
      <c r="AB48" s="101"/>
      <c r="AC48" s="94"/>
      <c r="AD48" s="101"/>
      <c r="AE48" s="94"/>
      <c r="AF48" s="101"/>
      <c r="AG48" s="94"/>
      <c r="AH48" s="101"/>
      <c r="AI48" s="94"/>
      <c r="AJ48" s="100"/>
      <c r="AK48" s="100"/>
    </row>
    <row r="49" spans="1:37" ht="15.75" customHeight="1">
      <c r="A49" s="312"/>
      <c r="B49" s="493"/>
      <c r="C49" s="255" t="s">
        <v>1167</v>
      </c>
      <c r="D49" s="90"/>
      <c r="E49" s="90"/>
      <c r="F49" s="90"/>
      <c r="G49" s="255"/>
      <c r="H49" s="91"/>
      <c r="I49" s="393" t="s">
        <v>1073</v>
      </c>
      <c r="J49" s="93">
        <v>1400</v>
      </c>
      <c r="K49" s="155"/>
      <c r="L49" s="4"/>
      <c r="M49" s="184"/>
      <c r="N49" s="101"/>
      <c r="O49" s="94"/>
      <c r="P49" s="101"/>
      <c r="Q49" s="94"/>
      <c r="R49" s="101"/>
      <c r="S49" s="94"/>
      <c r="T49" s="101"/>
      <c r="U49" s="94"/>
      <c r="V49" s="60"/>
      <c r="W49" s="94"/>
      <c r="X49" s="101"/>
      <c r="Y49" s="94"/>
      <c r="Z49" s="101"/>
      <c r="AA49" s="94"/>
      <c r="AB49" s="101"/>
      <c r="AC49" s="94"/>
      <c r="AD49" s="101"/>
      <c r="AE49" s="94"/>
      <c r="AF49" s="101"/>
      <c r="AG49" s="94"/>
      <c r="AH49" s="101"/>
      <c r="AI49" s="94"/>
      <c r="AJ49" s="100"/>
      <c r="AK49" s="100"/>
    </row>
    <row r="50" spans="1:37" ht="15.75" customHeight="1">
      <c r="A50" s="312"/>
      <c r="B50" s="493"/>
      <c r="C50" s="255" t="s">
        <v>1168</v>
      </c>
      <c r="D50" s="90"/>
      <c r="E50" s="90"/>
      <c r="F50" s="90"/>
      <c r="G50" s="255"/>
      <c r="H50" s="91"/>
      <c r="I50" s="393" t="s">
        <v>1073</v>
      </c>
      <c r="J50" s="93">
        <v>700</v>
      </c>
      <c r="K50" s="155"/>
      <c r="L50" s="4"/>
      <c r="M50" s="184"/>
      <c r="N50" s="101"/>
      <c r="O50" s="94"/>
      <c r="P50" s="101"/>
      <c r="Q50" s="94"/>
      <c r="R50" s="101"/>
      <c r="S50" s="94"/>
      <c r="T50" s="101"/>
      <c r="U50" s="94"/>
      <c r="V50" s="60"/>
      <c r="W50" s="94"/>
      <c r="X50" s="101"/>
      <c r="Y50" s="94"/>
      <c r="Z50" s="101"/>
      <c r="AA50" s="94"/>
      <c r="AB50" s="101">
        <v>700</v>
      </c>
      <c r="AC50" s="94"/>
      <c r="AD50" s="101"/>
      <c r="AE50" s="94"/>
      <c r="AF50" s="101"/>
      <c r="AG50" s="94"/>
      <c r="AH50" s="101"/>
      <c r="AI50" s="94"/>
      <c r="AJ50" s="100"/>
      <c r="AK50" s="100"/>
    </row>
    <row r="51" spans="1:37" ht="15.75" customHeight="1">
      <c r="A51" s="312"/>
      <c r="B51" s="493"/>
      <c r="C51" s="255" t="s">
        <v>1169</v>
      </c>
      <c r="D51" s="90"/>
      <c r="E51" s="90"/>
      <c r="F51" s="90"/>
      <c r="G51" s="255"/>
      <c r="H51" s="91"/>
      <c r="I51" s="393" t="s">
        <v>1073</v>
      </c>
      <c r="J51" s="93">
        <v>350</v>
      </c>
      <c r="K51" s="155"/>
      <c r="L51" s="4"/>
      <c r="M51" s="184"/>
      <c r="N51" s="101"/>
      <c r="O51" s="94"/>
      <c r="P51" s="101"/>
      <c r="Q51" s="94"/>
      <c r="R51" s="101"/>
      <c r="S51" s="94"/>
      <c r="T51" s="101"/>
      <c r="U51" s="94"/>
      <c r="V51" s="60"/>
      <c r="W51" s="94"/>
      <c r="X51" s="101"/>
      <c r="Y51" s="94"/>
      <c r="Z51" s="101"/>
      <c r="AA51" s="94"/>
      <c r="AB51" s="101">
        <v>350</v>
      </c>
      <c r="AC51" s="94"/>
      <c r="AD51" s="101"/>
      <c r="AE51" s="94"/>
      <c r="AF51" s="101"/>
      <c r="AG51" s="94"/>
      <c r="AH51" s="101"/>
      <c r="AI51" s="94"/>
      <c r="AJ51" s="100"/>
      <c r="AK51" s="100"/>
    </row>
    <row r="52" spans="1:37" ht="15.75" customHeight="1">
      <c r="A52" s="312"/>
      <c r="B52" s="493"/>
      <c r="C52" s="255" t="s">
        <v>1170</v>
      </c>
      <c r="D52" s="90"/>
      <c r="E52" s="90"/>
      <c r="F52" s="90"/>
      <c r="G52" s="255"/>
      <c r="H52" s="91"/>
      <c r="I52" s="393" t="s">
        <v>1073</v>
      </c>
      <c r="J52" s="93">
        <v>1400</v>
      </c>
      <c r="K52" s="155"/>
      <c r="L52" s="4"/>
      <c r="M52" s="184"/>
      <c r="N52" s="101"/>
      <c r="O52" s="94"/>
      <c r="P52" s="101"/>
      <c r="Q52" s="94"/>
      <c r="R52" s="101"/>
      <c r="S52" s="94"/>
      <c r="T52" s="101"/>
      <c r="U52" s="94"/>
      <c r="V52" s="60"/>
      <c r="W52" s="94"/>
      <c r="X52" s="101"/>
      <c r="Y52" s="94"/>
      <c r="Z52" s="101"/>
      <c r="AA52" s="94"/>
      <c r="AB52" s="101"/>
      <c r="AC52" s="94"/>
      <c r="AD52" s="101"/>
      <c r="AE52" s="94"/>
      <c r="AF52" s="101"/>
      <c r="AG52" s="94"/>
      <c r="AH52" s="101"/>
      <c r="AI52" s="94"/>
      <c r="AJ52" s="100"/>
      <c r="AK52" s="100"/>
    </row>
    <row r="53" spans="1:37" ht="15.75" customHeight="1">
      <c r="A53" s="312"/>
      <c r="B53" s="493"/>
      <c r="C53" s="255" t="s">
        <v>1171</v>
      </c>
      <c r="D53" s="90"/>
      <c r="E53" s="90"/>
      <c r="F53" s="90"/>
      <c r="G53" s="255"/>
      <c r="H53" s="91"/>
      <c r="I53" s="393" t="s">
        <v>1073</v>
      </c>
      <c r="J53" s="93">
        <v>1050</v>
      </c>
      <c r="K53" s="155"/>
      <c r="L53" s="4"/>
      <c r="M53" s="184"/>
      <c r="N53" s="101">
        <v>1050</v>
      </c>
      <c r="O53" s="94">
        <v>1050</v>
      </c>
      <c r="P53" s="101"/>
      <c r="Q53" s="94"/>
      <c r="R53" s="101"/>
      <c r="S53" s="94"/>
      <c r="T53" s="101"/>
      <c r="U53" s="94"/>
      <c r="V53" s="60"/>
      <c r="W53" s="94"/>
      <c r="X53" s="101"/>
      <c r="Y53" s="94"/>
      <c r="Z53" s="101"/>
      <c r="AA53" s="94"/>
      <c r="AB53" s="101"/>
      <c r="AC53" s="94"/>
      <c r="AD53" s="101"/>
      <c r="AE53" s="94"/>
      <c r="AF53" s="101"/>
      <c r="AG53" s="94"/>
      <c r="AH53" s="101"/>
      <c r="AI53" s="94"/>
      <c r="AJ53" s="100"/>
      <c r="AK53" s="100"/>
    </row>
    <row r="54" spans="1:37" ht="15.75" customHeight="1">
      <c r="A54" s="312"/>
      <c r="B54" s="494"/>
      <c r="C54" s="255" t="s">
        <v>1172</v>
      </c>
      <c r="D54" s="90"/>
      <c r="E54" s="90"/>
      <c r="F54" s="90"/>
      <c r="G54" s="255"/>
      <c r="H54" s="91"/>
      <c r="I54" s="393" t="s">
        <v>1073</v>
      </c>
      <c r="J54" s="93">
        <v>350</v>
      </c>
      <c r="K54" s="155"/>
      <c r="L54" s="4"/>
      <c r="M54" s="184"/>
      <c r="N54" s="101"/>
      <c r="O54" s="94"/>
      <c r="P54" s="101"/>
      <c r="Q54" s="94"/>
      <c r="R54" s="101"/>
      <c r="S54" s="94"/>
      <c r="T54" s="101"/>
      <c r="U54" s="94"/>
      <c r="V54" s="60"/>
      <c r="W54" s="94"/>
      <c r="X54" s="101"/>
      <c r="Y54" s="94"/>
      <c r="Z54" s="101"/>
      <c r="AA54" s="94"/>
      <c r="AB54" s="101"/>
      <c r="AC54" s="94"/>
      <c r="AD54" s="101"/>
      <c r="AE54" s="94"/>
      <c r="AF54" s="101"/>
      <c r="AG54" s="94"/>
      <c r="AH54" s="101"/>
      <c r="AI54" s="94"/>
      <c r="AJ54" s="100"/>
      <c r="AK54" s="100"/>
    </row>
    <row r="55" spans="1:37" ht="15.75" customHeight="1">
      <c r="A55" s="98">
        <v>400010043</v>
      </c>
      <c r="B55" s="104" t="s">
        <v>144</v>
      </c>
      <c r="C55" s="255" t="s">
        <v>1173</v>
      </c>
      <c r="D55" s="90"/>
      <c r="E55" s="90"/>
      <c r="F55" s="90"/>
      <c r="G55" s="90" t="s">
        <v>1090</v>
      </c>
      <c r="H55" s="91" t="s">
        <v>1174</v>
      </c>
      <c r="I55" s="393" t="s">
        <v>1175</v>
      </c>
      <c r="J55" s="93">
        <f t="shared" si="30"/>
        <v>32000</v>
      </c>
      <c r="K55" s="155">
        <f t="shared" si="3"/>
        <v>0</v>
      </c>
      <c r="L55" s="4"/>
      <c r="M55" s="183"/>
      <c r="N55" s="101"/>
      <c r="O55" s="94"/>
      <c r="P55" s="101"/>
      <c r="Q55" s="94"/>
      <c r="R55" s="101"/>
      <c r="S55" s="94"/>
      <c r="T55" s="101"/>
      <c r="U55" s="94"/>
      <c r="V55" s="101"/>
      <c r="W55" s="94"/>
      <c r="X55" s="101"/>
      <c r="Y55" s="94"/>
      <c r="Z55" s="101"/>
      <c r="AA55" s="94"/>
      <c r="AB55" s="101">
        <v>32000</v>
      </c>
      <c r="AC55" s="94"/>
      <c r="AD55" s="101"/>
      <c r="AE55" s="94"/>
      <c r="AF55" s="101"/>
      <c r="AG55" s="94"/>
      <c r="AH55" s="101"/>
      <c r="AI55" s="94"/>
      <c r="AJ55" s="100">
        <f t="shared" ref="AJ55:AK55" si="34">J55/12</f>
        <v>2666.6666666666665</v>
      </c>
      <c r="AK55" s="100">
        <f t="shared" si="34"/>
        <v>0</v>
      </c>
    </row>
    <row r="56" spans="1:37" ht="15.75" customHeight="1">
      <c r="A56" s="98">
        <v>400010044</v>
      </c>
      <c r="B56" s="162" t="s">
        <v>147</v>
      </c>
      <c r="C56" s="438" t="s">
        <v>1176</v>
      </c>
      <c r="D56" s="90"/>
      <c r="E56" s="90" t="s">
        <v>1061</v>
      </c>
      <c r="F56" s="90" t="s">
        <v>1121</v>
      </c>
      <c r="G56" s="90"/>
      <c r="H56" s="91"/>
      <c r="I56" s="390" t="s">
        <v>1177</v>
      </c>
      <c r="J56" s="93">
        <f t="shared" si="30"/>
        <v>10000</v>
      </c>
      <c r="K56" s="155">
        <f t="shared" si="3"/>
        <v>0</v>
      </c>
      <c r="L56" s="4"/>
      <c r="M56" s="183"/>
      <c r="N56" s="101"/>
      <c r="O56" s="94"/>
      <c r="P56" s="101"/>
      <c r="Q56" s="94"/>
      <c r="R56" s="101">
        <v>10000</v>
      </c>
      <c r="S56" s="94"/>
      <c r="T56" s="101"/>
      <c r="U56" s="94"/>
      <c r="V56" s="101"/>
      <c r="W56" s="94"/>
      <c r="X56" s="101"/>
      <c r="Y56" s="94"/>
      <c r="Z56" s="101"/>
      <c r="AA56" s="94"/>
      <c r="AB56" s="101"/>
      <c r="AC56" s="94"/>
      <c r="AD56" s="101"/>
      <c r="AE56" s="94"/>
      <c r="AF56" s="101"/>
      <c r="AG56" s="94"/>
      <c r="AH56" s="101"/>
      <c r="AI56" s="94"/>
      <c r="AJ56" s="100">
        <f t="shared" ref="AJ56:AK56" si="35">J56/12</f>
        <v>833.33333333333337</v>
      </c>
      <c r="AK56" s="100">
        <f t="shared" si="35"/>
        <v>0</v>
      </c>
    </row>
    <row r="57" spans="1:37" ht="15.75" customHeight="1">
      <c r="A57" s="98">
        <v>400010046</v>
      </c>
      <c r="B57" s="377" t="s">
        <v>147</v>
      </c>
      <c r="C57" s="439" t="s">
        <v>1178</v>
      </c>
      <c r="D57" s="90"/>
      <c r="E57" s="90" t="s">
        <v>1061</v>
      </c>
      <c r="F57" s="90" t="s">
        <v>1121</v>
      </c>
      <c r="G57" s="90" t="s">
        <v>1090</v>
      </c>
      <c r="H57" s="91" t="s">
        <v>1127</v>
      </c>
      <c r="I57" s="393" t="s">
        <v>1179</v>
      </c>
      <c r="J57" s="93">
        <v>5000</v>
      </c>
      <c r="K57" s="155">
        <f t="shared" si="3"/>
        <v>5000</v>
      </c>
      <c r="L57" s="4">
        <v>5000</v>
      </c>
      <c r="M57" s="184">
        <v>5000</v>
      </c>
      <c r="N57" s="101"/>
      <c r="O57" s="94"/>
      <c r="P57" s="101"/>
      <c r="Q57" s="94"/>
      <c r="R57" s="101"/>
      <c r="S57" s="94"/>
      <c r="T57" s="101"/>
      <c r="U57" s="94"/>
      <c r="V57" s="101"/>
      <c r="W57" s="94"/>
      <c r="X57" s="101"/>
      <c r="Y57" s="94"/>
      <c r="Z57" s="101"/>
      <c r="AA57" s="94"/>
      <c r="AB57" s="101"/>
      <c r="AC57" s="94"/>
      <c r="AD57" s="101"/>
      <c r="AE57" s="94"/>
      <c r="AF57" s="101"/>
      <c r="AG57" s="94"/>
      <c r="AH57" s="101"/>
      <c r="AI57" s="94"/>
      <c r="AJ57" s="100">
        <f t="shared" ref="AJ57:AK57" si="36">J57/12</f>
        <v>416.66666666666669</v>
      </c>
      <c r="AK57" s="100">
        <f t="shared" si="36"/>
        <v>416.66666666666669</v>
      </c>
    </row>
    <row r="58" spans="1:37" ht="15.75" customHeight="1">
      <c r="A58" s="98"/>
      <c r="B58" s="377" t="s">
        <v>147</v>
      </c>
      <c r="C58" s="439" t="s">
        <v>1180</v>
      </c>
      <c r="D58" s="90"/>
      <c r="E58" s="90"/>
      <c r="F58" s="90"/>
      <c r="G58" s="90" t="s">
        <v>1181</v>
      </c>
      <c r="H58" s="91" t="s">
        <v>1182</v>
      </c>
      <c r="I58" s="390" t="s">
        <v>1140</v>
      </c>
      <c r="J58" s="93"/>
      <c r="K58" s="155"/>
      <c r="L58" s="4"/>
      <c r="M58" s="184"/>
      <c r="N58" s="101"/>
      <c r="O58" s="94"/>
      <c r="P58" s="101"/>
      <c r="Q58" s="94"/>
      <c r="R58" s="101"/>
      <c r="S58" s="94"/>
      <c r="T58" s="101"/>
      <c r="U58" s="94"/>
      <c r="V58" s="101"/>
      <c r="W58" s="94"/>
      <c r="X58" s="101"/>
      <c r="Y58" s="94"/>
      <c r="Z58" s="101"/>
      <c r="AA58" s="94"/>
      <c r="AB58" s="101"/>
      <c r="AC58" s="94"/>
      <c r="AD58" s="101"/>
      <c r="AE58" s="94"/>
      <c r="AF58" s="101"/>
      <c r="AG58" s="94"/>
      <c r="AH58" s="101"/>
      <c r="AI58" s="94"/>
      <c r="AJ58" s="100"/>
      <c r="AK58" s="100"/>
    </row>
    <row r="59" spans="1:37" ht="15.75" customHeight="1">
      <c r="A59" s="98">
        <v>400010047</v>
      </c>
      <c r="B59" s="90" t="s">
        <v>1153</v>
      </c>
      <c r="C59" s="255" t="s">
        <v>1183</v>
      </c>
      <c r="D59" s="90"/>
      <c r="E59" s="90" t="s">
        <v>1061</v>
      </c>
      <c r="F59" s="90" t="s">
        <v>1104</v>
      </c>
      <c r="G59" s="255" t="s">
        <v>1184</v>
      </c>
      <c r="H59" s="91"/>
      <c r="I59" s="393" t="s">
        <v>1185</v>
      </c>
      <c r="J59" s="93">
        <f t="shared" si="30"/>
        <v>0</v>
      </c>
      <c r="K59" s="155">
        <f t="shared" si="3"/>
        <v>0</v>
      </c>
      <c r="L59" s="4"/>
      <c r="M59" s="183"/>
      <c r="N59" s="101"/>
      <c r="O59" s="94"/>
      <c r="P59" s="101"/>
      <c r="Q59" s="94"/>
      <c r="R59" s="101"/>
      <c r="S59" s="94"/>
      <c r="T59" s="101"/>
      <c r="U59" s="94"/>
      <c r="V59" s="101"/>
      <c r="W59" s="94"/>
      <c r="X59" s="101"/>
      <c r="Y59" s="94"/>
      <c r="Z59" s="101"/>
      <c r="AA59" s="94"/>
      <c r="AB59" s="101"/>
      <c r="AC59" s="94"/>
      <c r="AD59" s="101"/>
      <c r="AE59" s="94"/>
      <c r="AF59" s="101"/>
      <c r="AG59" s="94"/>
      <c r="AH59" s="101"/>
      <c r="AI59" s="94"/>
      <c r="AJ59" s="100">
        <f t="shared" ref="AJ59:AK59" si="37">J59/12</f>
        <v>0</v>
      </c>
      <c r="AK59" s="100">
        <f t="shared" si="37"/>
        <v>0</v>
      </c>
    </row>
    <row r="60" spans="1:37" ht="15.75" customHeight="1">
      <c r="A60" s="483">
        <v>400010048</v>
      </c>
      <c r="B60" s="492" t="s">
        <v>1153</v>
      </c>
      <c r="C60" s="481" t="s">
        <v>309</v>
      </c>
      <c r="D60" s="90"/>
      <c r="E60" s="90" t="s">
        <v>1061</v>
      </c>
      <c r="F60" s="90" t="s">
        <v>102</v>
      </c>
      <c r="G60" s="255" t="s">
        <v>1184</v>
      </c>
      <c r="H60" s="91"/>
      <c r="I60" s="393" t="s">
        <v>1185</v>
      </c>
      <c r="J60" s="93">
        <f t="shared" si="30"/>
        <v>0</v>
      </c>
      <c r="K60" s="155">
        <f t="shared" si="3"/>
        <v>0</v>
      </c>
      <c r="L60" s="4"/>
      <c r="M60" s="183"/>
      <c r="N60" s="101"/>
      <c r="O60" s="94"/>
      <c r="P60" s="101"/>
      <c r="Q60" s="94"/>
      <c r="R60" s="101"/>
      <c r="S60" s="94"/>
      <c r="T60" s="101"/>
      <c r="U60" s="94"/>
      <c r="V60" s="101"/>
      <c r="W60" s="94"/>
      <c r="X60" s="101"/>
      <c r="Y60" s="94"/>
      <c r="Z60" s="101"/>
      <c r="AA60" s="94"/>
      <c r="AB60" s="101"/>
      <c r="AC60" s="94"/>
      <c r="AD60" s="101"/>
      <c r="AE60" s="94"/>
      <c r="AF60" s="101"/>
      <c r="AG60" s="94"/>
      <c r="AH60" s="101"/>
      <c r="AI60" s="94"/>
      <c r="AJ60" s="100">
        <f t="shared" ref="AJ60:AK60" si="38">J60/12</f>
        <v>0</v>
      </c>
      <c r="AK60" s="100">
        <f t="shared" si="38"/>
        <v>0</v>
      </c>
    </row>
    <row r="61" spans="1:37" ht="15.75" customHeight="1">
      <c r="A61" s="485"/>
      <c r="B61" s="494"/>
      <c r="C61" s="482"/>
      <c r="D61" s="90" t="s">
        <v>1186</v>
      </c>
      <c r="E61" s="90"/>
      <c r="F61" s="90"/>
      <c r="G61" s="255"/>
      <c r="H61" s="91"/>
      <c r="I61" s="393" t="s">
        <v>1073</v>
      </c>
      <c r="J61" s="93">
        <v>4250</v>
      </c>
      <c r="K61" s="155"/>
      <c r="L61" s="4"/>
      <c r="M61" s="183"/>
      <c r="N61" s="101"/>
      <c r="O61" s="94"/>
      <c r="P61" s="101"/>
      <c r="Q61" s="94"/>
      <c r="R61" s="101">
        <v>4250</v>
      </c>
      <c r="S61" s="94"/>
      <c r="T61" s="101"/>
      <c r="U61" s="94"/>
      <c r="V61" s="101"/>
      <c r="W61" s="94"/>
      <c r="X61" s="101"/>
      <c r="Y61" s="94"/>
      <c r="Z61" s="101"/>
      <c r="AA61" s="94"/>
      <c r="AB61" s="101"/>
      <c r="AC61" s="94"/>
      <c r="AD61" s="101"/>
      <c r="AE61" s="94"/>
      <c r="AF61" s="101"/>
      <c r="AG61" s="94"/>
      <c r="AH61" s="101"/>
      <c r="AI61" s="94"/>
      <c r="AJ61" s="100"/>
      <c r="AK61" s="100"/>
    </row>
    <row r="62" spans="1:37" ht="15.75" hidden="1" customHeight="1">
      <c r="A62" s="98">
        <v>400010049</v>
      </c>
      <c r="B62" s="104" t="s">
        <v>1153</v>
      </c>
      <c r="C62" s="437" t="s">
        <v>1187</v>
      </c>
      <c r="D62" s="90"/>
      <c r="E62" s="90"/>
      <c r="F62" s="90"/>
      <c r="G62" s="90"/>
      <c r="H62" s="91"/>
      <c r="I62" s="91"/>
      <c r="J62" s="93">
        <f t="shared" si="30"/>
        <v>0</v>
      </c>
      <c r="K62" s="155">
        <f t="shared" si="3"/>
        <v>0</v>
      </c>
      <c r="L62" s="4"/>
      <c r="M62" s="183"/>
      <c r="N62" s="101"/>
      <c r="O62" s="94"/>
      <c r="P62" s="101"/>
      <c r="Q62" s="94"/>
      <c r="R62" s="101"/>
      <c r="S62" s="94"/>
      <c r="T62" s="101"/>
      <c r="U62" s="94"/>
      <c r="V62" s="101"/>
      <c r="W62" s="94"/>
      <c r="X62" s="101"/>
      <c r="Y62" s="94"/>
      <c r="Z62" s="101"/>
      <c r="AA62" s="94"/>
      <c r="AB62" s="101"/>
      <c r="AC62" s="94"/>
      <c r="AD62" s="101"/>
      <c r="AE62" s="94"/>
      <c r="AF62" s="101"/>
      <c r="AG62" s="94"/>
      <c r="AH62" s="101"/>
      <c r="AI62" s="94"/>
      <c r="AJ62" s="100">
        <f t="shared" ref="AJ62:AK62" si="39">J62/12</f>
        <v>0</v>
      </c>
      <c r="AK62" s="100">
        <f t="shared" si="39"/>
        <v>0</v>
      </c>
    </row>
    <row r="63" spans="1:37" ht="15.75" hidden="1" customHeight="1">
      <c r="A63" s="98">
        <v>400010050</v>
      </c>
      <c r="B63" s="90" t="s">
        <v>1188</v>
      </c>
      <c r="C63" s="255" t="s">
        <v>1188</v>
      </c>
      <c r="D63" s="90"/>
      <c r="E63" s="90"/>
      <c r="F63" s="90"/>
      <c r="G63" s="90"/>
      <c r="H63" s="91"/>
      <c r="I63" s="91"/>
      <c r="J63" s="93">
        <f t="shared" si="30"/>
        <v>0</v>
      </c>
      <c r="K63" s="155">
        <f t="shared" si="3"/>
        <v>0</v>
      </c>
      <c r="L63" s="4"/>
      <c r="M63" s="183"/>
      <c r="N63" s="101"/>
      <c r="O63" s="94"/>
      <c r="P63" s="101"/>
      <c r="Q63" s="94"/>
      <c r="R63" s="101"/>
      <c r="S63" s="94"/>
      <c r="T63" s="101"/>
      <c r="U63" s="94"/>
      <c r="V63" s="101"/>
      <c r="W63" s="94"/>
      <c r="X63" s="101"/>
      <c r="Y63" s="94"/>
      <c r="Z63" s="101"/>
      <c r="AA63" s="94"/>
      <c r="AB63" s="101"/>
      <c r="AC63" s="94"/>
      <c r="AD63" s="101"/>
      <c r="AE63" s="94"/>
      <c r="AF63" s="101"/>
      <c r="AG63" s="94"/>
      <c r="AH63" s="101"/>
      <c r="AI63" s="94"/>
      <c r="AJ63" s="100">
        <f t="shared" ref="AJ63:AK63" si="40">J63/12</f>
        <v>0</v>
      </c>
      <c r="AK63" s="100">
        <f t="shared" si="40"/>
        <v>0</v>
      </c>
    </row>
    <row r="64" spans="1:37" ht="15.75" customHeight="1">
      <c r="A64" s="98">
        <v>400010051</v>
      </c>
      <c r="B64" s="90" t="s">
        <v>144</v>
      </c>
      <c r="C64" s="255" t="s">
        <v>605</v>
      </c>
      <c r="D64" s="90"/>
      <c r="E64" s="90" t="s">
        <v>1061</v>
      </c>
      <c r="F64" s="90" t="s">
        <v>1104</v>
      </c>
      <c r="G64" s="90" t="s">
        <v>250</v>
      </c>
      <c r="H64" s="91" t="s">
        <v>1189</v>
      </c>
      <c r="I64" s="102" t="s">
        <v>1190</v>
      </c>
      <c r="J64" s="93">
        <v>22000</v>
      </c>
      <c r="K64" s="155">
        <f t="shared" si="3"/>
        <v>0</v>
      </c>
      <c r="L64" s="4"/>
      <c r="M64" s="183"/>
      <c r="N64" s="101"/>
      <c r="O64" s="94"/>
      <c r="P64" s="101"/>
      <c r="Q64" s="94"/>
      <c r="R64" s="101"/>
      <c r="S64" s="94"/>
      <c r="T64" s="101"/>
      <c r="U64" s="94"/>
      <c r="V64" s="101"/>
      <c r="W64" s="94"/>
      <c r="X64" s="101"/>
      <c r="Y64" s="94"/>
      <c r="Z64" s="101"/>
      <c r="AA64" s="94"/>
      <c r="AB64" s="101">
        <v>22000</v>
      </c>
      <c r="AC64" s="94"/>
      <c r="AD64" s="101"/>
      <c r="AE64" s="94"/>
      <c r="AF64" s="101"/>
      <c r="AG64" s="94"/>
      <c r="AH64" s="101"/>
      <c r="AI64" s="94"/>
      <c r="AJ64" s="100">
        <f t="shared" ref="AJ64:AK64" si="41">J64/12</f>
        <v>1833.3333333333333</v>
      </c>
      <c r="AK64" s="100">
        <f t="shared" si="41"/>
        <v>0</v>
      </c>
    </row>
    <row r="65" spans="1:37" ht="15.75" customHeight="1">
      <c r="A65" s="264">
        <v>400010052</v>
      </c>
      <c r="B65" s="492" t="s">
        <v>1191</v>
      </c>
      <c r="C65" s="481" t="s">
        <v>1192</v>
      </c>
      <c r="D65" s="90" t="s">
        <v>1120</v>
      </c>
      <c r="E65" s="90" t="s">
        <v>1061</v>
      </c>
      <c r="F65" s="90" t="s">
        <v>1139</v>
      </c>
      <c r="G65" s="90"/>
      <c r="H65" s="91"/>
      <c r="I65" s="390" t="s">
        <v>1140</v>
      </c>
      <c r="J65" s="93">
        <f t="shared" si="30"/>
        <v>0</v>
      </c>
      <c r="K65" s="155">
        <f t="shared" si="3"/>
        <v>0</v>
      </c>
      <c r="L65" s="4"/>
      <c r="M65" s="183"/>
      <c r="N65" s="101"/>
      <c r="O65" s="94"/>
      <c r="P65" s="101"/>
      <c r="Q65" s="94"/>
      <c r="R65" s="101"/>
      <c r="S65" s="94"/>
      <c r="T65" s="101"/>
      <c r="U65" s="94"/>
      <c r="V65" s="101"/>
      <c r="W65" s="94"/>
      <c r="X65" s="101"/>
      <c r="Y65" s="94"/>
      <c r="Z65" s="101"/>
      <c r="AA65" s="94"/>
      <c r="AB65" s="101"/>
      <c r="AC65" s="94"/>
      <c r="AD65" s="101"/>
      <c r="AE65" s="94"/>
      <c r="AF65" s="101"/>
      <c r="AG65" s="94"/>
      <c r="AH65" s="101"/>
      <c r="AI65" s="94"/>
      <c r="AJ65" s="100">
        <f t="shared" ref="AJ65:AK65" si="42">J65/12</f>
        <v>0</v>
      </c>
      <c r="AK65" s="100">
        <f t="shared" si="42"/>
        <v>0</v>
      </c>
    </row>
    <row r="66" spans="1:37" ht="15.75" customHeight="1">
      <c r="A66" s="263"/>
      <c r="B66" s="494"/>
      <c r="C66" s="482"/>
      <c r="D66" s="90" t="s">
        <v>1193</v>
      </c>
      <c r="E66" s="90"/>
      <c r="F66" s="90"/>
      <c r="G66" s="90"/>
      <c r="H66" s="91"/>
      <c r="I66" s="102" t="s">
        <v>1073</v>
      </c>
      <c r="J66" s="93">
        <v>9900</v>
      </c>
      <c r="K66" s="155"/>
      <c r="L66" s="4"/>
      <c r="M66" s="183"/>
      <c r="N66" s="101"/>
      <c r="O66" s="94"/>
      <c r="P66" s="101"/>
      <c r="Q66" s="94"/>
      <c r="R66" s="101"/>
      <c r="S66" s="94"/>
      <c r="T66" s="101"/>
      <c r="U66" s="94"/>
      <c r="V66" s="101"/>
      <c r="W66" s="94"/>
      <c r="X66" s="101"/>
      <c r="Y66" s="94"/>
      <c r="Z66" s="101"/>
      <c r="AA66" s="94"/>
      <c r="AB66" s="101"/>
      <c r="AC66" s="94"/>
      <c r="AD66" s="101"/>
      <c r="AE66" s="94"/>
      <c r="AF66" s="101"/>
      <c r="AG66" s="94"/>
      <c r="AH66" s="101"/>
      <c r="AI66" s="94"/>
      <c r="AJ66" s="100"/>
      <c r="AK66" s="100"/>
    </row>
    <row r="67" spans="1:37" ht="15.75" customHeight="1">
      <c r="A67" s="98">
        <v>400010053</v>
      </c>
      <c r="B67" s="492" t="s">
        <v>1194</v>
      </c>
      <c r="C67" s="255" t="s">
        <v>646</v>
      </c>
      <c r="D67" s="90"/>
      <c r="E67" s="90"/>
      <c r="F67" s="90"/>
      <c r="G67" s="90"/>
      <c r="H67" s="91"/>
      <c r="I67" s="390" t="s">
        <v>1195</v>
      </c>
      <c r="J67" s="93">
        <f t="shared" si="30"/>
        <v>0</v>
      </c>
      <c r="K67" s="155">
        <f t="shared" si="3"/>
        <v>0</v>
      </c>
      <c r="L67" s="4"/>
      <c r="M67" s="183"/>
      <c r="N67" s="101"/>
      <c r="O67" s="94"/>
      <c r="P67" s="101"/>
      <c r="Q67" s="94"/>
      <c r="R67" s="101"/>
      <c r="S67" s="94"/>
      <c r="T67" s="101"/>
      <c r="U67" s="94"/>
      <c r="V67" s="101"/>
      <c r="W67" s="94"/>
      <c r="X67" s="101"/>
      <c r="Y67" s="94"/>
      <c r="Z67" s="101"/>
      <c r="AA67" s="94"/>
      <c r="AB67" s="101"/>
      <c r="AC67" s="94"/>
      <c r="AD67" s="101"/>
      <c r="AE67" s="94"/>
      <c r="AF67" s="101"/>
      <c r="AG67" s="94"/>
      <c r="AH67" s="101"/>
      <c r="AI67" s="94"/>
      <c r="AJ67" s="100">
        <f t="shared" ref="AJ67:AK67" si="43">J67/12</f>
        <v>0</v>
      </c>
      <c r="AK67" s="100">
        <f t="shared" si="43"/>
        <v>0</v>
      </c>
    </row>
    <row r="68" spans="1:37" ht="15.75" customHeight="1">
      <c r="A68" s="98"/>
      <c r="B68" s="493"/>
      <c r="C68" s="255" t="s">
        <v>322</v>
      </c>
      <c r="D68" s="90" t="s">
        <v>1120</v>
      </c>
      <c r="E68" s="90"/>
      <c r="F68" s="90"/>
      <c r="G68" s="90" t="s">
        <v>1090</v>
      </c>
      <c r="H68" s="91" t="s">
        <v>1127</v>
      </c>
      <c r="I68" s="393" t="s">
        <v>1091</v>
      </c>
      <c r="J68" s="93">
        <v>31500</v>
      </c>
      <c r="K68" s="155"/>
      <c r="L68" s="4">
        <v>31500</v>
      </c>
      <c r="M68" s="399">
        <v>31500</v>
      </c>
      <c r="N68" s="101"/>
      <c r="O68" s="94"/>
      <c r="P68" s="101"/>
      <c r="Q68" s="94"/>
      <c r="R68" s="101"/>
      <c r="S68" s="94"/>
      <c r="T68" s="101"/>
      <c r="U68" s="94"/>
      <c r="V68" s="101"/>
      <c r="W68" s="94"/>
      <c r="X68" s="101"/>
      <c r="Y68" s="94"/>
      <c r="Z68" s="101"/>
      <c r="AA68" s="94"/>
      <c r="AB68" s="101"/>
      <c r="AC68" s="94"/>
      <c r="AD68" s="101"/>
      <c r="AE68" s="94"/>
      <c r="AF68" s="101"/>
      <c r="AG68" s="94"/>
      <c r="AH68" s="101"/>
      <c r="AI68" s="94"/>
      <c r="AJ68" s="100"/>
      <c r="AK68" s="100"/>
    </row>
    <row r="69" spans="1:37" ht="15.75" customHeight="1">
      <c r="A69" s="98"/>
      <c r="B69" s="493"/>
      <c r="C69" s="255" t="s">
        <v>1196</v>
      </c>
      <c r="D69" s="90" t="s">
        <v>1197</v>
      </c>
      <c r="E69" s="90"/>
      <c r="F69" s="90"/>
      <c r="G69" s="90"/>
      <c r="H69" s="91"/>
      <c r="I69" s="393" t="s">
        <v>1073</v>
      </c>
      <c r="J69" s="93">
        <v>1330</v>
      </c>
      <c r="K69" s="155"/>
      <c r="L69" s="4"/>
      <c r="M69" s="183"/>
      <c r="N69" s="101"/>
      <c r="O69" s="94"/>
      <c r="P69" s="101"/>
      <c r="Q69" s="94"/>
      <c r="R69" s="101"/>
      <c r="S69" s="94"/>
      <c r="T69" s="101"/>
      <c r="U69" s="94"/>
      <c r="V69" s="101"/>
      <c r="W69" s="94"/>
      <c r="X69" s="101"/>
      <c r="Y69" s="94"/>
      <c r="Z69" s="101"/>
      <c r="AA69" s="94"/>
      <c r="AB69" s="101">
        <v>1330</v>
      </c>
      <c r="AC69" s="94"/>
      <c r="AD69" s="101"/>
      <c r="AE69" s="94"/>
      <c r="AF69" s="101"/>
      <c r="AG69" s="94"/>
      <c r="AH69" s="101"/>
      <c r="AI69" s="94"/>
      <c r="AJ69" s="100"/>
      <c r="AK69" s="100"/>
    </row>
    <row r="70" spans="1:37" ht="15.75" customHeight="1">
      <c r="A70" s="98"/>
      <c r="B70" s="494"/>
      <c r="C70" s="255" t="s">
        <v>1198</v>
      </c>
      <c r="D70" s="90"/>
      <c r="E70" s="90"/>
      <c r="F70" s="90"/>
      <c r="G70" s="90"/>
      <c r="H70" s="91"/>
      <c r="I70" s="393" t="s">
        <v>1073</v>
      </c>
      <c r="J70" s="93">
        <v>7500</v>
      </c>
      <c r="K70" s="155"/>
      <c r="L70" s="4"/>
      <c r="M70" s="183"/>
      <c r="N70" s="101"/>
      <c r="O70" s="94"/>
      <c r="P70" s="101"/>
      <c r="Q70" s="94"/>
      <c r="R70" s="101"/>
      <c r="S70" s="94"/>
      <c r="T70" s="101"/>
      <c r="U70" s="94"/>
      <c r="V70" s="101"/>
      <c r="W70" s="94"/>
      <c r="X70" s="101"/>
      <c r="Y70" s="94"/>
      <c r="Z70" s="101"/>
      <c r="AA70" s="94"/>
      <c r="AB70" s="101"/>
      <c r="AC70" s="94"/>
      <c r="AD70" s="101"/>
      <c r="AE70" s="94"/>
      <c r="AF70" s="101">
        <v>7500</v>
      </c>
      <c r="AG70" s="94"/>
      <c r="AH70" s="101"/>
      <c r="AI70" s="94"/>
      <c r="AJ70" s="100"/>
      <c r="AK70" s="100"/>
    </row>
    <row r="71" spans="1:37" ht="15.75" customHeight="1">
      <c r="A71" s="98">
        <v>400010054</v>
      </c>
      <c r="B71" s="90" t="s">
        <v>1199</v>
      </c>
      <c r="C71" s="255" t="s">
        <v>681</v>
      </c>
      <c r="D71" s="90"/>
      <c r="E71" s="90" t="s">
        <v>1061</v>
      </c>
      <c r="F71" s="90" t="s">
        <v>1104</v>
      </c>
      <c r="G71" s="90" t="s">
        <v>250</v>
      </c>
      <c r="H71" s="91" t="s">
        <v>1151</v>
      </c>
      <c r="I71" s="102" t="s">
        <v>1152</v>
      </c>
      <c r="J71" s="93">
        <v>8000</v>
      </c>
      <c r="K71" s="155">
        <f t="shared" si="3"/>
        <v>0</v>
      </c>
      <c r="L71" s="4"/>
      <c r="M71" s="183"/>
      <c r="N71" s="101"/>
      <c r="O71" s="94"/>
      <c r="P71" s="101"/>
      <c r="Q71" s="94"/>
      <c r="R71" s="101"/>
      <c r="S71" s="94"/>
      <c r="T71" s="101"/>
      <c r="U71" s="94"/>
      <c r="V71" s="101"/>
      <c r="W71" s="94"/>
      <c r="X71" s="101"/>
      <c r="Y71" s="94"/>
      <c r="Z71" s="101"/>
      <c r="AA71" s="94"/>
      <c r="AB71" s="101">
        <v>8000</v>
      </c>
      <c r="AC71" s="94"/>
      <c r="AD71" s="101"/>
      <c r="AE71" s="94"/>
      <c r="AF71" s="101"/>
      <c r="AG71" s="94"/>
      <c r="AH71" s="101"/>
      <c r="AI71" s="94"/>
      <c r="AJ71" s="100">
        <f t="shared" ref="AJ71:AK71" si="44">J71/12</f>
        <v>666.66666666666663</v>
      </c>
      <c r="AK71" s="100">
        <f t="shared" si="44"/>
        <v>0</v>
      </c>
    </row>
    <row r="72" spans="1:37" ht="15.75" customHeight="1">
      <c r="A72" s="98">
        <v>400010055</v>
      </c>
      <c r="B72" s="90" t="s">
        <v>1200</v>
      </c>
      <c r="C72" s="255" t="s">
        <v>1201</v>
      </c>
      <c r="D72" s="90"/>
      <c r="E72" s="90"/>
      <c r="F72" s="90"/>
      <c r="G72" s="90"/>
      <c r="H72" s="91"/>
      <c r="I72" s="390" t="s">
        <v>1140</v>
      </c>
      <c r="J72" s="93">
        <f t="shared" si="30"/>
        <v>0</v>
      </c>
      <c r="K72" s="155">
        <f t="shared" si="3"/>
        <v>0</v>
      </c>
      <c r="L72" s="4"/>
      <c r="M72" s="183"/>
      <c r="N72" s="101"/>
      <c r="O72" s="94"/>
      <c r="P72" s="101"/>
      <c r="Q72" s="94"/>
      <c r="R72" s="101"/>
      <c r="S72" s="94"/>
      <c r="T72" s="101"/>
      <c r="U72" s="94"/>
      <c r="V72" s="101"/>
      <c r="W72" s="94"/>
      <c r="X72" s="101"/>
      <c r="Y72" s="94"/>
      <c r="Z72" s="101"/>
      <c r="AA72" s="94"/>
      <c r="AB72" s="101"/>
      <c r="AC72" s="94"/>
      <c r="AD72" s="101"/>
      <c r="AE72" s="94"/>
      <c r="AF72" s="101"/>
      <c r="AG72" s="94"/>
      <c r="AH72" s="101"/>
      <c r="AI72" s="94"/>
      <c r="AJ72" s="100">
        <f t="shared" ref="AJ72:AK72" si="45">J72/12</f>
        <v>0</v>
      </c>
      <c r="AK72" s="100">
        <f t="shared" si="45"/>
        <v>0</v>
      </c>
    </row>
    <row r="73" spans="1:37" ht="15.75" customHeight="1">
      <c r="A73" s="98">
        <v>400010056</v>
      </c>
      <c r="B73" s="90" t="s">
        <v>1202</v>
      </c>
      <c r="C73" s="255" t="s">
        <v>1203</v>
      </c>
      <c r="D73" s="90"/>
      <c r="E73" s="90" t="s">
        <v>1061</v>
      </c>
      <c r="F73" s="90" t="s">
        <v>102</v>
      </c>
      <c r="G73" s="90" t="s">
        <v>250</v>
      </c>
      <c r="H73" s="91"/>
      <c r="I73" s="390" t="s">
        <v>1204</v>
      </c>
      <c r="J73" s="93">
        <f t="shared" si="30"/>
        <v>0</v>
      </c>
      <c r="K73" s="155">
        <f t="shared" si="3"/>
        <v>0</v>
      </c>
      <c r="L73" s="4"/>
      <c r="M73" s="183"/>
      <c r="N73" s="101"/>
      <c r="O73" s="94"/>
      <c r="P73" s="101"/>
      <c r="Q73" s="94"/>
      <c r="R73" s="101"/>
      <c r="S73" s="94"/>
      <c r="T73" s="101"/>
      <c r="U73" s="94"/>
      <c r="V73" s="101"/>
      <c r="W73" s="94"/>
      <c r="X73" s="101"/>
      <c r="Y73" s="94"/>
      <c r="Z73" s="101"/>
      <c r="AA73" s="94"/>
      <c r="AB73" s="101"/>
      <c r="AC73" s="94"/>
      <c r="AD73" s="101"/>
      <c r="AE73" s="94"/>
      <c r="AF73" s="101"/>
      <c r="AG73" s="94"/>
      <c r="AH73" s="101"/>
      <c r="AI73" s="94"/>
      <c r="AJ73" s="100">
        <f t="shared" ref="AJ73:AK73" si="46">J73/12</f>
        <v>0</v>
      </c>
      <c r="AK73" s="100">
        <f t="shared" si="46"/>
        <v>0</v>
      </c>
    </row>
    <row r="74" spans="1:37" ht="15.75" customHeight="1">
      <c r="A74" s="98">
        <v>400010057</v>
      </c>
      <c r="B74" s="90" t="s">
        <v>272</v>
      </c>
      <c r="C74" s="255" t="s">
        <v>272</v>
      </c>
      <c r="D74" s="90"/>
      <c r="E74" s="90" t="s">
        <v>1061</v>
      </c>
      <c r="F74" s="90" t="s">
        <v>1104</v>
      </c>
      <c r="G74" s="90" t="s">
        <v>1122</v>
      </c>
      <c r="H74" s="91" t="s">
        <v>1140</v>
      </c>
      <c r="I74" s="102" t="s">
        <v>1091</v>
      </c>
      <c r="J74" s="93">
        <v>34000</v>
      </c>
      <c r="K74" s="155">
        <f t="shared" si="3"/>
        <v>8460</v>
      </c>
      <c r="L74" s="4">
        <v>8460</v>
      </c>
      <c r="M74" s="184">
        <v>8460</v>
      </c>
      <c r="N74" s="101"/>
      <c r="O74" s="94"/>
      <c r="P74" s="101"/>
      <c r="Q74" s="94"/>
      <c r="R74" s="101">
        <v>8620</v>
      </c>
      <c r="S74" s="94"/>
      <c r="T74" s="101"/>
      <c r="U74" s="94"/>
      <c r="V74" s="101"/>
      <c r="W74" s="94"/>
      <c r="X74" s="101">
        <v>8460</v>
      </c>
      <c r="Y74" s="94"/>
      <c r="Z74" s="101"/>
      <c r="AA74" s="94"/>
      <c r="AB74" s="101"/>
      <c r="AC74" s="94"/>
      <c r="AD74" s="101">
        <v>8640</v>
      </c>
      <c r="AE74" s="94"/>
      <c r="AF74" s="101"/>
      <c r="AG74" s="94"/>
      <c r="AH74" s="101"/>
      <c r="AI74" s="94"/>
      <c r="AJ74" s="100">
        <f t="shared" ref="AJ74:AK74" si="47">J74/12</f>
        <v>2833.3333333333335</v>
      </c>
      <c r="AK74" s="100">
        <f t="shared" si="47"/>
        <v>705</v>
      </c>
    </row>
    <row r="75" spans="1:37" ht="15.75" hidden="1" customHeight="1">
      <c r="A75" s="98">
        <v>400010058</v>
      </c>
      <c r="B75" s="90" t="s">
        <v>144</v>
      </c>
      <c r="C75" s="255" t="s">
        <v>1205</v>
      </c>
      <c r="D75" s="90"/>
      <c r="E75" s="90"/>
      <c r="F75" s="90"/>
      <c r="G75" s="90"/>
      <c r="H75" s="91"/>
      <c r="I75" s="91"/>
      <c r="J75" s="93">
        <f t="shared" si="30"/>
        <v>0</v>
      </c>
      <c r="K75" s="155">
        <f t="shared" si="3"/>
        <v>0</v>
      </c>
      <c r="L75" s="4"/>
      <c r="M75" s="183"/>
      <c r="N75" s="101"/>
      <c r="O75" s="94"/>
      <c r="P75" s="101"/>
      <c r="Q75" s="94"/>
      <c r="R75" s="101"/>
      <c r="S75" s="94"/>
      <c r="T75" s="101"/>
      <c r="U75" s="94"/>
      <c r="V75" s="101"/>
      <c r="W75" s="94"/>
      <c r="X75" s="101"/>
      <c r="Y75" s="94"/>
      <c r="Z75" s="101"/>
      <c r="AA75" s="94"/>
      <c r="AB75" s="101"/>
      <c r="AC75" s="94"/>
      <c r="AD75" s="101"/>
      <c r="AE75" s="94"/>
      <c r="AF75" s="101"/>
      <c r="AG75" s="94"/>
      <c r="AH75" s="101"/>
      <c r="AI75" s="94"/>
      <c r="AJ75" s="100">
        <f t="shared" ref="AJ75:AK75" si="48">J75/12</f>
        <v>0</v>
      </c>
      <c r="AK75" s="100">
        <f t="shared" si="48"/>
        <v>0</v>
      </c>
    </row>
    <row r="76" spans="1:37" ht="15.75" customHeight="1">
      <c r="A76" s="98">
        <v>400010059</v>
      </c>
      <c r="B76" s="90" t="s">
        <v>1206</v>
      </c>
      <c r="C76" s="255" t="s">
        <v>1207</v>
      </c>
      <c r="D76" s="163" t="s">
        <v>1208</v>
      </c>
      <c r="E76" s="90" t="s">
        <v>1061</v>
      </c>
      <c r="F76" s="90" t="s">
        <v>1104</v>
      </c>
      <c r="G76" s="90" t="s">
        <v>1209</v>
      </c>
      <c r="H76" s="91"/>
      <c r="I76" s="390" t="s">
        <v>1210</v>
      </c>
      <c r="J76" s="93">
        <f t="shared" si="30"/>
        <v>0</v>
      </c>
      <c r="K76" s="155">
        <f t="shared" si="3"/>
        <v>0</v>
      </c>
      <c r="L76" s="4"/>
      <c r="M76" s="183"/>
      <c r="N76" s="101"/>
      <c r="O76" s="94"/>
      <c r="P76" s="101"/>
      <c r="Q76" s="94"/>
      <c r="R76" s="101"/>
      <c r="S76" s="94"/>
      <c r="T76" s="101"/>
      <c r="U76" s="94"/>
      <c r="V76" s="101"/>
      <c r="W76" s="94"/>
      <c r="X76" s="101"/>
      <c r="Y76" s="94"/>
      <c r="Z76" s="101"/>
      <c r="AA76" s="94"/>
      <c r="AB76" s="101"/>
      <c r="AC76" s="94"/>
      <c r="AD76" s="101"/>
      <c r="AE76" s="94"/>
      <c r="AF76" s="101"/>
      <c r="AG76" s="94"/>
      <c r="AH76" s="101"/>
      <c r="AI76" s="94"/>
      <c r="AJ76" s="100">
        <f t="shared" ref="AJ76:AK76" si="49">J76/12</f>
        <v>0</v>
      </c>
      <c r="AK76" s="100">
        <f t="shared" si="49"/>
        <v>0</v>
      </c>
    </row>
    <row r="77" spans="1:37" ht="15.75" customHeight="1">
      <c r="A77" s="483">
        <v>400010060</v>
      </c>
      <c r="B77" s="492" t="s">
        <v>1211</v>
      </c>
      <c r="C77" s="440" t="s">
        <v>1212</v>
      </c>
      <c r="D77" s="90"/>
      <c r="E77" s="90"/>
      <c r="F77" s="90"/>
      <c r="G77" s="90"/>
      <c r="H77" s="91"/>
      <c r="I77" s="393" t="s">
        <v>1073</v>
      </c>
      <c r="J77" s="93">
        <f t="shared" si="30"/>
        <v>0</v>
      </c>
      <c r="K77" s="155">
        <f t="shared" si="3"/>
        <v>0</v>
      </c>
      <c r="L77" s="4"/>
      <c r="M77" s="184"/>
      <c r="N77" s="101"/>
      <c r="O77" s="94"/>
      <c r="P77" s="101"/>
      <c r="Q77" s="94"/>
      <c r="R77" s="101"/>
      <c r="S77" s="94"/>
      <c r="T77" s="101"/>
      <c r="U77" s="94"/>
      <c r="V77" s="101"/>
      <c r="W77" s="94"/>
      <c r="X77" s="101"/>
      <c r="Y77" s="94"/>
      <c r="Z77" s="101"/>
      <c r="AA77" s="94"/>
      <c r="AB77" s="101"/>
      <c r="AC77" s="94"/>
      <c r="AD77" s="101"/>
      <c r="AE77" s="94"/>
      <c r="AF77" s="101"/>
      <c r="AG77" s="94"/>
      <c r="AH77" s="101"/>
      <c r="AI77" s="94"/>
      <c r="AJ77" s="100">
        <f t="shared" ref="AJ77:AK77" si="50">J77/12</f>
        <v>0</v>
      </c>
      <c r="AK77" s="100">
        <f t="shared" si="50"/>
        <v>0</v>
      </c>
    </row>
    <row r="78" spans="1:37" ht="15.75" customHeight="1">
      <c r="A78" s="484"/>
      <c r="B78" s="503"/>
      <c r="C78" s="395" t="s">
        <v>1213</v>
      </c>
      <c r="D78" s="90"/>
      <c r="E78" s="90"/>
      <c r="F78" s="90"/>
      <c r="G78" s="90" t="s">
        <v>1214</v>
      </c>
      <c r="H78" s="91"/>
      <c r="I78" s="393" t="s">
        <v>1073</v>
      </c>
      <c r="J78" s="93">
        <v>950</v>
      </c>
      <c r="K78" s="155"/>
      <c r="L78" s="4"/>
      <c r="M78" s="184"/>
      <c r="N78" s="101"/>
      <c r="O78" s="94"/>
      <c r="P78" s="101"/>
      <c r="Q78" s="94"/>
      <c r="R78" s="101"/>
      <c r="S78" s="94"/>
      <c r="T78" s="101"/>
      <c r="U78" s="94"/>
      <c r="V78" s="101"/>
      <c r="W78" s="94"/>
      <c r="X78" s="101"/>
      <c r="Y78" s="94"/>
      <c r="Z78" s="101"/>
      <c r="AA78" s="94"/>
      <c r="AB78" s="101"/>
      <c r="AC78" s="94"/>
      <c r="AD78" s="101"/>
      <c r="AE78" s="94"/>
      <c r="AF78" s="101"/>
      <c r="AG78" s="94"/>
      <c r="AH78" s="101">
        <v>950</v>
      </c>
      <c r="AI78" s="94"/>
      <c r="AJ78" s="100"/>
      <c r="AK78" s="100"/>
    </row>
    <row r="79" spans="1:37" ht="15.75" customHeight="1">
      <c r="A79" s="485"/>
      <c r="B79" s="493"/>
      <c r="C79" s="441" t="s">
        <v>1215</v>
      </c>
      <c r="D79" s="90"/>
      <c r="E79" s="90"/>
      <c r="F79" s="90"/>
      <c r="G79" s="90"/>
      <c r="H79" s="91"/>
      <c r="I79" s="393" t="s">
        <v>1073</v>
      </c>
      <c r="J79" s="93">
        <v>1500</v>
      </c>
      <c r="K79" s="155"/>
      <c r="L79" s="4"/>
      <c r="M79" s="184"/>
      <c r="N79" s="101"/>
      <c r="O79" s="94"/>
      <c r="P79" s="101"/>
      <c r="Q79" s="94"/>
      <c r="R79" s="101"/>
      <c r="S79" s="94"/>
      <c r="T79" s="101"/>
      <c r="U79" s="94"/>
      <c r="V79" s="101"/>
      <c r="W79" s="94"/>
      <c r="X79" s="101"/>
      <c r="Y79" s="94"/>
      <c r="Z79" s="101"/>
      <c r="AA79" s="94"/>
      <c r="AB79" s="101"/>
      <c r="AC79" s="94"/>
      <c r="AD79" s="101"/>
      <c r="AE79" s="94"/>
      <c r="AF79" s="101"/>
      <c r="AG79" s="94"/>
      <c r="AH79" s="101"/>
      <c r="AI79" s="94"/>
      <c r="AJ79" s="100"/>
      <c r="AK79" s="100"/>
    </row>
    <row r="80" spans="1:37" ht="15.75" customHeight="1">
      <c r="A80" s="262"/>
      <c r="B80" s="493"/>
      <c r="C80" s="255" t="s">
        <v>1216</v>
      </c>
      <c r="D80" s="90"/>
      <c r="E80" s="90"/>
      <c r="F80" s="90"/>
      <c r="G80" s="90"/>
      <c r="H80" s="91"/>
      <c r="I80" s="393" t="s">
        <v>1073</v>
      </c>
      <c r="J80" s="93">
        <v>4250</v>
      </c>
      <c r="K80" s="155"/>
      <c r="L80" s="4"/>
      <c r="M80" s="184"/>
      <c r="N80" s="101"/>
      <c r="O80" s="94"/>
      <c r="P80" s="101"/>
      <c r="Q80" s="94"/>
      <c r="R80" s="101"/>
      <c r="S80" s="94"/>
      <c r="T80" s="101">
        <v>4250</v>
      </c>
      <c r="U80" s="94"/>
      <c r="V80" s="101"/>
      <c r="W80" s="94"/>
      <c r="X80" s="101"/>
      <c r="Y80" s="94"/>
      <c r="Z80" s="101"/>
      <c r="AA80" s="94"/>
      <c r="AB80" s="101"/>
      <c r="AC80" s="94"/>
      <c r="AD80" s="101"/>
      <c r="AE80" s="94"/>
      <c r="AF80" s="101"/>
      <c r="AG80" s="94"/>
      <c r="AH80" s="101"/>
      <c r="AI80" s="94"/>
      <c r="AJ80" s="100"/>
      <c r="AK80" s="100"/>
    </row>
    <row r="81" spans="1:37" ht="15.75" customHeight="1">
      <c r="A81" s="262"/>
      <c r="B81" s="494"/>
      <c r="C81" s="255" t="s">
        <v>1217</v>
      </c>
      <c r="D81" s="90"/>
      <c r="E81" s="90"/>
      <c r="F81" s="90"/>
      <c r="G81" s="90"/>
      <c r="H81" s="91"/>
      <c r="I81" s="393" t="s">
        <v>1073</v>
      </c>
      <c r="J81" s="93">
        <v>9374</v>
      </c>
      <c r="K81" s="155"/>
      <c r="L81" s="4"/>
      <c r="M81" s="184"/>
      <c r="N81" s="101"/>
      <c r="O81" s="94"/>
      <c r="P81" s="101"/>
      <c r="Q81" s="94"/>
      <c r="R81" s="101"/>
      <c r="S81" s="94"/>
      <c r="T81" s="101"/>
      <c r="U81" s="94"/>
      <c r="V81" s="101"/>
      <c r="W81" s="94"/>
      <c r="X81" s="101">
        <v>9374</v>
      </c>
      <c r="Y81" s="94"/>
      <c r="Z81" s="101"/>
      <c r="AA81" s="94"/>
      <c r="AB81" s="101"/>
      <c r="AC81" s="94"/>
      <c r="AD81" s="101"/>
      <c r="AE81" s="94"/>
      <c r="AF81" s="101"/>
      <c r="AG81" s="94"/>
      <c r="AH81" s="101"/>
      <c r="AI81" s="94"/>
      <c r="AJ81" s="100"/>
      <c r="AK81" s="100"/>
    </row>
    <row r="82" spans="1:37" ht="15.75" customHeight="1">
      <c r="A82" s="262"/>
      <c r="B82" s="90" t="s">
        <v>176</v>
      </c>
      <c r="C82" s="255" t="s">
        <v>1218</v>
      </c>
      <c r="D82" s="90"/>
      <c r="E82" s="90" t="s">
        <v>1061</v>
      </c>
      <c r="F82" s="90" t="s">
        <v>1104</v>
      </c>
      <c r="G82" s="90" t="s">
        <v>1090</v>
      </c>
      <c r="H82" s="91" t="s">
        <v>1219</v>
      </c>
      <c r="I82" s="393" t="s">
        <v>1220</v>
      </c>
      <c r="J82" s="93">
        <v>100000</v>
      </c>
      <c r="K82" s="155">
        <f t="shared" si="3"/>
        <v>0</v>
      </c>
      <c r="L82" s="4"/>
      <c r="M82" s="183"/>
      <c r="N82" s="101"/>
      <c r="O82" s="94"/>
      <c r="P82" s="101"/>
      <c r="Q82" s="94"/>
      <c r="R82" s="101"/>
      <c r="S82" s="94"/>
      <c r="T82" s="101"/>
      <c r="U82" s="94"/>
      <c r="V82" s="101"/>
      <c r="W82" s="94"/>
      <c r="X82" s="101">
        <v>100000</v>
      </c>
      <c r="Y82" s="94"/>
      <c r="Z82" s="101"/>
      <c r="AA82" s="94"/>
      <c r="AB82" s="101"/>
      <c r="AC82" s="94"/>
      <c r="AD82" s="101"/>
      <c r="AE82" s="94"/>
      <c r="AF82" s="101"/>
      <c r="AG82" s="94"/>
      <c r="AH82" s="101"/>
      <c r="AI82" s="94"/>
      <c r="AJ82" s="100">
        <f t="shared" ref="AJ82:AK82" si="51">J82/12</f>
        <v>8333.3333333333339</v>
      </c>
      <c r="AK82" s="100">
        <f t="shared" si="51"/>
        <v>0</v>
      </c>
    </row>
    <row r="83" spans="1:37" ht="15.75" hidden="1" customHeight="1">
      <c r="A83" s="98">
        <v>400010061</v>
      </c>
      <c r="B83" s="104" t="s">
        <v>1221</v>
      </c>
      <c r="C83" s="255" t="s">
        <v>1222</v>
      </c>
      <c r="D83" s="90"/>
      <c r="E83" s="90"/>
      <c r="F83" s="90"/>
      <c r="G83" s="90"/>
      <c r="H83" s="91"/>
      <c r="I83" s="91"/>
      <c r="J83" s="93">
        <f t="shared" si="30"/>
        <v>0</v>
      </c>
      <c r="K83" s="155">
        <f t="shared" si="3"/>
        <v>0</v>
      </c>
      <c r="L83" s="4"/>
      <c r="M83" s="183"/>
      <c r="N83" s="101"/>
      <c r="O83" s="94"/>
      <c r="P83" s="101"/>
      <c r="Q83" s="94"/>
      <c r="R83" s="101"/>
      <c r="S83" s="94"/>
      <c r="T83" s="101"/>
      <c r="U83" s="94"/>
      <c r="V83" s="101"/>
      <c r="W83" s="94"/>
      <c r="X83" s="101"/>
      <c r="Y83" s="94"/>
      <c r="Z83" s="101"/>
      <c r="AA83" s="94"/>
      <c r="AB83" s="101"/>
      <c r="AC83" s="94"/>
      <c r="AD83" s="101"/>
      <c r="AE83" s="94"/>
      <c r="AF83" s="101"/>
      <c r="AG83" s="94"/>
      <c r="AH83" s="101"/>
      <c r="AI83" s="94"/>
      <c r="AJ83" s="100">
        <f t="shared" ref="AJ83:AK83" si="52">J83/12</f>
        <v>0</v>
      </c>
      <c r="AK83" s="100">
        <f t="shared" si="52"/>
        <v>0</v>
      </c>
    </row>
    <row r="84" spans="1:37" ht="15.75" hidden="1" customHeight="1">
      <c r="A84" s="98">
        <v>400010062</v>
      </c>
      <c r="B84" s="90" t="s">
        <v>1153</v>
      </c>
      <c r="C84" s="255" t="s">
        <v>1223</v>
      </c>
      <c r="D84" s="90"/>
      <c r="E84" s="90"/>
      <c r="F84" s="90"/>
      <c r="G84" s="90"/>
      <c r="H84" s="91"/>
      <c r="I84" s="91"/>
      <c r="J84" s="93">
        <f t="shared" si="30"/>
        <v>0</v>
      </c>
      <c r="K84" s="155">
        <f t="shared" si="3"/>
        <v>0</v>
      </c>
      <c r="L84" s="4"/>
      <c r="M84" s="94"/>
      <c r="N84" s="101"/>
      <c r="O84" s="94"/>
      <c r="P84" s="101"/>
      <c r="Q84" s="94"/>
      <c r="R84" s="101"/>
      <c r="S84" s="94"/>
      <c r="T84" s="101"/>
      <c r="U84" s="94"/>
      <c r="V84" s="101"/>
      <c r="W84" s="94"/>
      <c r="X84" s="101"/>
      <c r="Y84" s="94"/>
      <c r="Z84" s="101"/>
      <c r="AA84" s="94"/>
      <c r="AB84" s="101"/>
      <c r="AC84" s="94"/>
      <c r="AD84" s="101"/>
      <c r="AE84" s="94"/>
      <c r="AF84" s="101"/>
      <c r="AG84" s="94"/>
      <c r="AH84" s="101"/>
      <c r="AI84" s="94"/>
      <c r="AJ84" s="100">
        <f t="shared" ref="AJ84:AK84" si="53">J84/12</f>
        <v>0</v>
      </c>
      <c r="AK84" s="100">
        <f t="shared" si="53"/>
        <v>0</v>
      </c>
    </row>
    <row r="85" spans="1:37" ht="15.75" customHeight="1">
      <c r="A85" s="98">
        <v>400010063</v>
      </c>
      <c r="B85" s="90" t="s">
        <v>1224</v>
      </c>
      <c r="C85" s="255" t="s">
        <v>1225</v>
      </c>
      <c r="D85" s="90"/>
      <c r="E85" s="90" t="s">
        <v>1061</v>
      </c>
      <c r="F85" s="90" t="s">
        <v>882</v>
      </c>
      <c r="G85" s="90" t="s">
        <v>1090</v>
      </c>
      <c r="H85" s="91" t="s">
        <v>1226</v>
      </c>
      <c r="I85" s="393" t="s">
        <v>1227</v>
      </c>
      <c r="J85" s="93">
        <v>47000</v>
      </c>
      <c r="K85" s="155">
        <f t="shared" si="3"/>
        <v>47000</v>
      </c>
      <c r="L85" s="4"/>
      <c r="M85" s="94"/>
      <c r="N85" s="101">
        <v>47000</v>
      </c>
      <c r="O85" s="94">
        <v>47000</v>
      </c>
      <c r="P85" s="101"/>
      <c r="Q85" s="94"/>
      <c r="R85" s="101"/>
      <c r="S85" s="94"/>
      <c r="T85" s="101"/>
      <c r="U85" s="94"/>
      <c r="V85" s="101"/>
      <c r="W85" s="94"/>
      <c r="X85" s="101"/>
      <c r="Y85" s="94"/>
      <c r="Z85" s="101"/>
      <c r="AA85" s="94"/>
      <c r="AB85" s="101"/>
      <c r="AC85" s="94"/>
      <c r="AD85" s="101"/>
      <c r="AE85" s="94"/>
      <c r="AF85" s="101"/>
      <c r="AG85" s="94"/>
      <c r="AH85" s="101"/>
      <c r="AI85" s="94"/>
      <c r="AJ85" s="100">
        <f t="shared" ref="AJ85:AK85" si="54">J85/12</f>
        <v>3916.6666666666665</v>
      </c>
      <c r="AK85" s="100">
        <f t="shared" si="54"/>
        <v>3916.6666666666665</v>
      </c>
    </row>
    <row r="86" spans="1:37" ht="15.75" hidden="1" customHeight="1">
      <c r="A86" s="98">
        <v>400010064</v>
      </c>
      <c r="B86" s="90" t="s">
        <v>1228</v>
      </c>
      <c r="C86" s="255" t="s">
        <v>1229</v>
      </c>
      <c r="D86" s="90"/>
      <c r="E86" s="90"/>
      <c r="F86" s="90"/>
      <c r="G86" s="90"/>
      <c r="H86" s="91"/>
      <c r="I86" s="91" t="s">
        <v>1230</v>
      </c>
      <c r="J86" s="93">
        <f t="shared" si="30"/>
        <v>0</v>
      </c>
      <c r="K86" s="155">
        <f t="shared" si="3"/>
        <v>0</v>
      </c>
      <c r="L86" s="4"/>
      <c r="M86" s="94"/>
      <c r="N86" s="101"/>
      <c r="O86" s="94"/>
      <c r="P86" s="101"/>
      <c r="Q86" s="94"/>
      <c r="R86" s="101"/>
      <c r="S86" s="94"/>
      <c r="T86" s="101"/>
      <c r="U86" s="94"/>
      <c r="V86" s="101"/>
      <c r="W86" s="94"/>
      <c r="X86" s="101"/>
      <c r="Y86" s="94"/>
      <c r="Z86" s="101"/>
      <c r="AA86" s="94"/>
      <c r="AB86" s="101"/>
      <c r="AC86" s="94"/>
      <c r="AD86" s="101"/>
      <c r="AE86" s="94"/>
      <c r="AF86" s="101"/>
      <c r="AG86" s="94"/>
      <c r="AH86" s="101"/>
      <c r="AI86" s="94"/>
      <c r="AJ86" s="100">
        <f t="shared" ref="AJ86:AK86" si="55">J86/12</f>
        <v>0</v>
      </c>
      <c r="AK86" s="100">
        <f t="shared" si="55"/>
        <v>0</v>
      </c>
    </row>
    <row r="87" spans="1:37" ht="15.75" customHeight="1">
      <c r="A87" s="98">
        <v>400010065</v>
      </c>
      <c r="B87" s="492" t="s">
        <v>1231</v>
      </c>
      <c r="C87" s="255" t="s">
        <v>589</v>
      </c>
      <c r="D87" s="90"/>
      <c r="E87" s="90" t="s">
        <v>1061</v>
      </c>
      <c r="F87" s="90" t="s">
        <v>1104</v>
      </c>
      <c r="G87" s="90" t="s">
        <v>1232</v>
      </c>
      <c r="H87" s="91" t="s">
        <v>1112</v>
      </c>
      <c r="I87" s="390" t="s">
        <v>1115</v>
      </c>
      <c r="J87" s="93">
        <v>6000</v>
      </c>
      <c r="K87" s="155">
        <f t="shared" si="3"/>
        <v>0</v>
      </c>
      <c r="L87" s="4"/>
      <c r="M87" s="94"/>
      <c r="N87" s="101"/>
      <c r="O87" s="94"/>
      <c r="P87" s="101"/>
      <c r="Q87" s="94"/>
      <c r="R87" s="101"/>
      <c r="S87" s="94"/>
      <c r="T87" s="101"/>
      <c r="U87" s="94"/>
      <c r="V87" s="101"/>
      <c r="W87" s="94"/>
      <c r="X87" s="101"/>
      <c r="Y87" s="94"/>
      <c r="Z87" s="101"/>
      <c r="AA87" s="94"/>
      <c r="AB87" s="101"/>
      <c r="AC87" s="94"/>
      <c r="AD87" s="101"/>
      <c r="AE87" s="94"/>
      <c r="AF87" s="101"/>
      <c r="AG87" s="94"/>
      <c r="AH87" s="101"/>
      <c r="AI87" s="94"/>
      <c r="AJ87" s="100">
        <f t="shared" ref="AJ87:AK87" si="56">J87/12</f>
        <v>500</v>
      </c>
      <c r="AK87" s="100">
        <f t="shared" si="56"/>
        <v>0</v>
      </c>
    </row>
    <row r="88" spans="1:37" ht="15.75" customHeight="1">
      <c r="A88" s="98">
        <v>400010066</v>
      </c>
      <c r="B88" s="494"/>
      <c r="C88" s="255" t="s">
        <v>504</v>
      </c>
      <c r="D88" s="90"/>
      <c r="E88" s="90" t="s">
        <v>1061</v>
      </c>
      <c r="F88" s="90" t="s">
        <v>1104</v>
      </c>
      <c r="G88" s="90" t="s">
        <v>1232</v>
      </c>
      <c r="H88" s="91" t="s">
        <v>1112</v>
      </c>
      <c r="I88" s="390" t="s">
        <v>1115</v>
      </c>
      <c r="J88" s="93">
        <v>6000</v>
      </c>
      <c r="K88" s="155">
        <f t="shared" si="3"/>
        <v>0</v>
      </c>
      <c r="L88" s="4"/>
      <c r="M88" s="94"/>
      <c r="N88" s="101"/>
      <c r="O88" s="94"/>
      <c r="P88" s="101"/>
      <c r="Q88" s="94"/>
      <c r="R88" s="101">
        <v>6000</v>
      </c>
      <c r="S88" s="94"/>
      <c r="T88" s="101"/>
      <c r="U88" s="94"/>
      <c r="V88" s="101"/>
      <c r="W88" s="94"/>
      <c r="X88" s="101"/>
      <c r="Y88" s="94"/>
      <c r="Z88" s="101"/>
      <c r="AA88" s="94"/>
      <c r="AB88" s="101"/>
      <c r="AC88" s="94"/>
      <c r="AD88" s="101"/>
      <c r="AE88" s="94"/>
      <c r="AF88" s="101"/>
      <c r="AG88" s="94"/>
      <c r="AH88" s="101"/>
      <c r="AI88" s="94"/>
      <c r="AJ88" s="100">
        <f t="shared" ref="AJ88:AK88" si="57">J88/12</f>
        <v>500</v>
      </c>
      <c r="AK88" s="100">
        <f t="shared" si="57"/>
        <v>0</v>
      </c>
    </row>
    <row r="89" spans="1:37" ht="15.75" hidden="1" customHeight="1">
      <c r="A89" s="98">
        <v>400010067</v>
      </c>
      <c r="B89" s="90"/>
      <c r="C89" s="255"/>
      <c r="D89" s="90" t="s">
        <v>1233</v>
      </c>
      <c r="E89" s="90"/>
      <c r="F89" s="90"/>
      <c r="G89" s="90"/>
      <c r="H89" s="91"/>
      <c r="I89" s="91"/>
      <c r="J89" s="93">
        <f t="shared" si="30"/>
        <v>0</v>
      </c>
      <c r="K89" s="155">
        <f t="shared" si="3"/>
        <v>0</v>
      </c>
      <c r="L89" s="4"/>
      <c r="M89" s="94"/>
      <c r="N89" s="101"/>
      <c r="O89" s="94"/>
      <c r="P89" s="101"/>
      <c r="Q89" s="94"/>
      <c r="R89" s="101"/>
      <c r="S89" s="94"/>
      <c r="T89" s="101"/>
      <c r="U89" s="94"/>
      <c r="V89" s="101"/>
      <c r="W89" s="94"/>
      <c r="X89" s="101"/>
      <c r="Y89" s="94"/>
      <c r="Z89" s="101"/>
      <c r="AA89" s="94"/>
      <c r="AB89" s="101"/>
      <c r="AC89" s="94"/>
      <c r="AD89" s="101"/>
      <c r="AE89" s="94"/>
      <c r="AF89" s="101"/>
      <c r="AG89" s="94"/>
      <c r="AH89" s="101"/>
      <c r="AI89" s="94"/>
      <c r="AJ89" s="100">
        <f t="shared" ref="AJ89:AK89" si="58">J89/12</f>
        <v>0</v>
      </c>
      <c r="AK89" s="100">
        <f t="shared" si="58"/>
        <v>0</v>
      </c>
    </row>
    <row r="90" spans="1:37" ht="15.75" hidden="1" customHeight="1">
      <c r="A90" s="98">
        <v>400010068</v>
      </c>
      <c r="B90" s="90"/>
      <c r="C90" s="255"/>
      <c r="D90" s="260">
        <v>300010237</v>
      </c>
      <c r="E90" s="90"/>
      <c r="F90" s="90"/>
      <c r="G90" s="90"/>
      <c r="H90" s="91"/>
      <c r="I90" s="91"/>
      <c r="J90" s="93">
        <f t="shared" si="30"/>
        <v>0</v>
      </c>
      <c r="K90" s="155">
        <f t="shared" si="3"/>
        <v>0</v>
      </c>
      <c r="L90" s="4"/>
      <c r="M90" s="94"/>
      <c r="N90" s="101"/>
      <c r="O90" s="94"/>
      <c r="P90" s="101"/>
      <c r="Q90" s="94"/>
      <c r="R90" s="101"/>
      <c r="S90" s="94"/>
      <c r="T90" s="101"/>
      <c r="U90" s="94"/>
      <c r="V90" s="101"/>
      <c r="W90" s="94"/>
      <c r="X90" s="101"/>
      <c r="Y90" s="94"/>
      <c r="Z90" s="101"/>
      <c r="AA90" s="94"/>
      <c r="AB90" s="101"/>
      <c r="AC90" s="94"/>
      <c r="AD90" s="101"/>
      <c r="AE90" s="94"/>
      <c r="AF90" s="101"/>
      <c r="AG90" s="94"/>
      <c r="AH90" s="101"/>
      <c r="AI90" s="94"/>
      <c r="AJ90" s="100">
        <f t="shared" ref="AJ90:AK90" si="59">J90/12</f>
        <v>0</v>
      </c>
      <c r="AK90" s="100">
        <f t="shared" si="59"/>
        <v>0</v>
      </c>
    </row>
    <row r="91" spans="1:37" ht="15.75" customHeight="1">
      <c r="A91" s="98">
        <v>400010069</v>
      </c>
      <c r="B91" s="492" t="s">
        <v>1136</v>
      </c>
      <c r="C91" s="481" t="s">
        <v>1234</v>
      </c>
      <c r="D91" s="90" t="s">
        <v>1235</v>
      </c>
      <c r="E91" s="90" t="s">
        <v>1061</v>
      </c>
      <c r="F91" s="90" t="s">
        <v>1139</v>
      </c>
      <c r="G91" s="90" t="s">
        <v>1090</v>
      </c>
      <c r="H91" s="91" t="s">
        <v>1127</v>
      </c>
      <c r="I91" s="393" t="s">
        <v>1091</v>
      </c>
      <c r="J91" s="93">
        <v>5000</v>
      </c>
      <c r="K91" s="155">
        <f t="shared" si="3"/>
        <v>5000</v>
      </c>
      <c r="L91" s="4">
        <v>5000</v>
      </c>
      <c r="M91" s="94">
        <v>5000</v>
      </c>
      <c r="N91" s="101"/>
      <c r="O91" s="94"/>
      <c r="P91" s="101"/>
      <c r="Q91" s="94"/>
      <c r="R91" s="101"/>
      <c r="S91" s="94"/>
      <c r="T91" s="101"/>
      <c r="U91" s="94"/>
      <c r="V91" s="101"/>
      <c r="W91" s="94"/>
      <c r="X91" s="101"/>
      <c r="Y91" s="94"/>
      <c r="Z91" s="101"/>
      <c r="AA91" s="94"/>
      <c r="AB91" s="101"/>
      <c r="AC91" s="94"/>
      <c r="AD91" s="101"/>
      <c r="AE91" s="94"/>
      <c r="AF91" s="101"/>
      <c r="AG91" s="94"/>
      <c r="AH91" s="101"/>
      <c r="AI91" s="94"/>
      <c r="AJ91" s="100">
        <f t="shared" ref="AJ91:AK91" si="60">J91/12</f>
        <v>416.66666666666669</v>
      </c>
      <c r="AK91" s="100">
        <f t="shared" si="60"/>
        <v>416.66666666666669</v>
      </c>
    </row>
    <row r="92" spans="1:37" ht="15.75" hidden="1" customHeight="1">
      <c r="A92" s="98">
        <v>400010070</v>
      </c>
      <c r="B92" s="494"/>
      <c r="C92" s="482"/>
      <c r="D92" s="90" t="s">
        <v>1236</v>
      </c>
      <c r="E92" s="90"/>
      <c r="F92" s="90"/>
      <c r="G92" s="90"/>
      <c r="H92" s="91"/>
      <c r="I92" s="393" t="s">
        <v>1073</v>
      </c>
      <c r="J92" s="93">
        <v>2500</v>
      </c>
      <c r="K92" s="155">
        <f t="shared" si="3"/>
        <v>0</v>
      </c>
      <c r="L92" s="4"/>
      <c r="M92" s="94"/>
      <c r="N92" s="101"/>
      <c r="O92" s="94"/>
      <c r="P92" s="101"/>
      <c r="Q92" s="94"/>
      <c r="R92" s="101"/>
      <c r="S92" s="94"/>
      <c r="T92" s="101"/>
      <c r="U92" s="94"/>
      <c r="V92" s="101">
        <v>2500</v>
      </c>
      <c r="W92" s="94"/>
      <c r="X92" s="101"/>
      <c r="Y92" s="94"/>
      <c r="Z92" s="101"/>
      <c r="AA92" s="94"/>
      <c r="AB92" s="101"/>
      <c r="AC92" s="94"/>
      <c r="AD92" s="101"/>
      <c r="AE92" s="94"/>
      <c r="AF92" s="101"/>
      <c r="AG92" s="94"/>
      <c r="AH92" s="101"/>
      <c r="AI92" s="94"/>
      <c r="AJ92" s="100">
        <f t="shared" ref="AJ92:AK92" si="61">J92/12</f>
        <v>208.33333333333334</v>
      </c>
      <c r="AK92" s="100">
        <f t="shared" si="61"/>
        <v>0</v>
      </c>
    </row>
    <row r="93" spans="1:37" ht="15.75" customHeight="1">
      <c r="A93" s="98">
        <v>400010071</v>
      </c>
      <c r="B93" s="90" t="s">
        <v>1237</v>
      </c>
      <c r="C93" s="255" t="s">
        <v>1238</v>
      </c>
      <c r="D93" s="90"/>
      <c r="E93" s="90"/>
      <c r="F93" s="90"/>
      <c r="G93" s="90"/>
      <c r="H93" s="91"/>
      <c r="I93" s="390" t="s">
        <v>1195</v>
      </c>
      <c r="J93" s="93">
        <f t="shared" si="30"/>
        <v>2500</v>
      </c>
      <c r="K93" s="155">
        <f t="shared" si="3"/>
        <v>0</v>
      </c>
      <c r="L93" s="4"/>
      <c r="M93" s="94"/>
      <c r="N93" s="101"/>
      <c r="O93" s="94"/>
      <c r="P93" s="101"/>
      <c r="Q93" s="94"/>
      <c r="R93" s="101"/>
      <c r="S93" s="94"/>
      <c r="T93" s="101">
        <v>2500</v>
      </c>
      <c r="U93" s="94"/>
      <c r="V93" s="101"/>
      <c r="W93" s="94"/>
      <c r="X93" s="101"/>
      <c r="Y93" s="94"/>
      <c r="Z93" s="101"/>
      <c r="AA93" s="94"/>
      <c r="AB93" s="101"/>
      <c r="AC93" s="94"/>
      <c r="AD93" s="101"/>
      <c r="AE93" s="94"/>
      <c r="AF93" s="101"/>
      <c r="AG93" s="94"/>
      <c r="AH93" s="101"/>
      <c r="AI93" s="94"/>
      <c r="AJ93" s="100">
        <f t="shared" ref="AJ93:AK93" si="62">J93/12</f>
        <v>208.33333333333334</v>
      </c>
      <c r="AK93" s="100">
        <f t="shared" si="62"/>
        <v>0</v>
      </c>
    </row>
    <row r="94" spans="1:37" ht="15.75" customHeight="1">
      <c r="A94" s="98">
        <v>400010072</v>
      </c>
      <c r="B94" s="269" t="s">
        <v>1237</v>
      </c>
      <c r="C94" s="255" t="s">
        <v>1238</v>
      </c>
      <c r="D94" s="90"/>
      <c r="E94" s="90"/>
      <c r="F94" s="90"/>
      <c r="G94" s="90"/>
      <c r="H94" s="91"/>
      <c r="I94" s="390" t="s">
        <v>1195</v>
      </c>
      <c r="J94" s="93">
        <v>834</v>
      </c>
      <c r="K94" s="155"/>
      <c r="L94" s="4"/>
      <c r="M94" s="94"/>
      <c r="N94" s="101"/>
      <c r="O94" s="94"/>
      <c r="P94" s="101"/>
      <c r="Q94" s="94"/>
      <c r="R94" s="101"/>
      <c r="S94" s="94"/>
      <c r="T94" s="101"/>
      <c r="U94" s="94"/>
      <c r="V94" s="101">
        <v>834</v>
      </c>
      <c r="W94" s="94"/>
      <c r="X94" s="101"/>
      <c r="Y94" s="94"/>
      <c r="Z94" s="101"/>
      <c r="AA94" s="94"/>
      <c r="AB94" s="101"/>
      <c r="AC94" s="94"/>
      <c r="AD94" s="101"/>
      <c r="AE94" s="94"/>
      <c r="AF94" s="101"/>
      <c r="AG94" s="94"/>
      <c r="AH94" s="101"/>
      <c r="AI94" s="94"/>
      <c r="AJ94" s="100"/>
      <c r="AK94" s="100"/>
    </row>
    <row r="95" spans="1:37" ht="15.75" hidden="1" customHeight="1">
      <c r="A95" s="98"/>
      <c r="B95" s="492" t="s">
        <v>1239</v>
      </c>
      <c r="C95" s="255" t="s">
        <v>1240</v>
      </c>
      <c r="D95" s="90" t="s">
        <v>1241</v>
      </c>
      <c r="E95" s="90"/>
      <c r="F95" s="90" t="s">
        <v>1242</v>
      </c>
      <c r="G95" s="90" t="s">
        <v>1243</v>
      </c>
      <c r="H95" s="91" t="s">
        <v>1244</v>
      </c>
      <c r="I95" s="393" t="s">
        <v>1245</v>
      </c>
      <c r="J95" s="93">
        <v>0</v>
      </c>
      <c r="K95" s="155">
        <f t="shared" si="3"/>
        <v>0</v>
      </c>
      <c r="L95" s="4"/>
      <c r="M95" s="94"/>
      <c r="N95" s="101"/>
      <c r="O95" s="94"/>
      <c r="P95" s="101"/>
      <c r="Q95" s="94"/>
      <c r="R95" s="101"/>
      <c r="S95" s="94"/>
      <c r="T95" s="101"/>
      <c r="U95" s="94"/>
      <c r="V95" s="101"/>
      <c r="W95" s="94"/>
      <c r="X95" s="101"/>
      <c r="Y95" s="94"/>
      <c r="Z95" s="101"/>
      <c r="AA95" s="94"/>
      <c r="AB95" s="101"/>
      <c r="AC95" s="94"/>
      <c r="AD95" s="101"/>
      <c r="AE95" s="94"/>
      <c r="AF95" s="101"/>
      <c r="AG95" s="94"/>
      <c r="AH95" s="101"/>
      <c r="AI95" s="94"/>
      <c r="AJ95" s="100">
        <f t="shared" ref="AJ95:AK95" si="63">J95/12</f>
        <v>0</v>
      </c>
      <c r="AK95" s="100">
        <f t="shared" si="63"/>
        <v>0</v>
      </c>
    </row>
    <row r="96" spans="1:37" ht="15.75" hidden="1" customHeight="1">
      <c r="A96" s="98">
        <v>400010073</v>
      </c>
      <c r="B96" s="494"/>
      <c r="C96" s="255" t="s">
        <v>1240</v>
      </c>
      <c r="D96" s="90" t="s">
        <v>1246</v>
      </c>
      <c r="E96" s="90"/>
      <c r="F96" s="90" t="s">
        <v>1242</v>
      </c>
      <c r="G96" s="90" t="s">
        <v>1243</v>
      </c>
      <c r="H96" s="91"/>
      <c r="I96" s="393" t="s">
        <v>1073</v>
      </c>
      <c r="J96" s="93">
        <f t="shared" si="30"/>
        <v>0</v>
      </c>
      <c r="K96" s="155">
        <f t="shared" si="3"/>
        <v>0</v>
      </c>
      <c r="L96" s="4"/>
      <c r="M96" s="94"/>
      <c r="N96" s="101"/>
      <c r="O96" s="94"/>
      <c r="P96" s="101"/>
      <c r="Q96" s="94"/>
      <c r="R96" s="101"/>
      <c r="S96" s="94"/>
      <c r="T96" s="101"/>
      <c r="U96" s="94"/>
      <c r="V96" s="101"/>
      <c r="W96" s="94"/>
      <c r="X96" s="101"/>
      <c r="Y96" s="94"/>
      <c r="Z96" s="101"/>
      <c r="AA96" s="94"/>
      <c r="AB96" s="101"/>
      <c r="AC96" s="94"/>
      <c r="AD96" s="101"/>
      <c r="AE96" s="94"/>
      <c r="AF96" s="101"/>
      <c r="AG96" s="94"/>
      <c r="AH96" s="101"/>
      <c r="AI96" s="94"/>
      <c r="AJ96" s="100">
        <f t="shared" ref="AJ96:AK96" si="64">J96/12</f>
        <v>0</v>
      </c>
      <c r="AK96" s="100">
        <f t="shared" si="64"/>
        <v>0</v>
      </c>
    </row>
    <row r="97" spans="1:38" ht="15.75" hidden="1" customHeight="1">
      <c r="A97" s="98">
        <v>400010074</v>
      </c>
      <c r="B97" s="90" t="s">
        <v>1247</v>
      </c>
      <c r="C97" s="255" t="s">
        <v>1248</v>
      </c>
      <c r="D97" s="90" t="s">
        <v>1249</v>
      </c>
      <c r="E97" s="90"/>
      <c r="F97" s="90" t="s">
        <v>1250</v>
      </c>
      <c r="G97" s="90"/>
      <c r="H97" s="91"/>
      <c r="I97" s="393" t="s">
        <v>1073</v>
      </c>
      <c r="J97" s="93">
        <v>2500</v>
      </c>
      <c r="K97" s="155"/>
      <c r="L97" s="4"/>
      <c r="M97" s="94"/>
      <c r="N97" s="60"/>
      <c r="O97" s="94"/>
      <c r="P97" s="60"/>
      <c r="Q97" s="94"/>
      <c r="R97" s="60"/>
      <c r="S97" s="94"/>
      <c r="T97" s="60"/>
      <c r="U97" s="94"/>
      <c r="V97" s="60"/>
      <c r="W97" s="94"/>
      <c r="X97" s="60"/>
      <c r="Y97" s="94"/>
      <c r="Z97" s="101"/>
      <c r="AA97" s="94"/>
      <c r="AB97" s="101"/>
      <c r="AC97" s="94"/>
      <c r="AD97" s="101"/>
      <c r="AE97" s="94"/>
      <c r="AF97" s="101"/>
      <c r="AG97" s="94"/>
      <c r="AH97" s="101"/>
      <c r="AI97" s="94"/>
      <c r="AJ97" s="100">
        <f t="shared" ref="AJ97:AK97" si="65">J97/12</f>
        <v>208.33333333333334</v>
      </c>
      <c r="AK97" s="100">
        <f t="shared" si="65"/>
        <v>0</v>
      </c>
    </row>
    <row r="98" spans="1:38" ht="15.75" customHeight="1">
      <c r="A98" s="98">
        <v>400010075</v>
      </c>
      <c r="B98" s="269" t="s">
        <v>1251</v>
      </c>
      <c r="C98" s="255"/>
      <c r="D98" s="269"/>
      <c r="E98" s="269"/>
      <c r="F98" s="269" t="s">
        <v>1250</v>
      </c>
      <c r="G98" s="269"/>
      <c r="H98" s="272"/>
      <c r="I98" s="416" t="s">
        <v>1195</v>
      </c>
      <c r="J98" s="277">
        <v>8000</v>
      </c>
      <c r="K98" s="155"/>
      <c r="L98" s="4"/>
      <c r="M98" s="94"/>
      <c r="N98" s="60"/>
      <c r="O98" s="94"/>
      <c r="P98" s="60"/>
      <c r="Q98" s="94"/>
      <c r="R98" s="60"/>
      <c r="S98" s="94"/>
      <c r="T98" s="60"/>
      <c r="U98" s="94"/>
      <c r="V98" s="60"/>
      <c r="W98" s="94"/>
      <c r="X98" s="60"/>
      <c r="Y98" s="94"/>
      <c r="Z98" s="101"/>
      <c r="AA98" s="94"/>
      <c r="AB98" s="101"/>
      <c r="AC98" s="94"/>
      <c r="AD98" s="101"/>
      <c r="AE98" s="94"/>
      <c r="AF98" s="101"/>
      <c r="AG98" s="94"/>
      <c r="AH98" s="101"/>
      <c r="AI98" s="94"/>
      <c r="AJ98" s="100"/>
      <c r="AK98" s="100"/>
    </row>
    <row r="99" spans="1:38" ht="15.75" customHeight="1">
      <c r="A99" s="98">
        <v>400010076</v>
      </c>
      <c r="B99" s="269" t="s">
        <v>1252</v>
      </c>
      <c r="C99" s="442"/>
      <c r="D99" s="273" t="s">
        <v>1253</v>
      </c>
      <c r="E99" s="273"/>
      <c r="F99" s="273" t="s">
        <v>1250</v>
      </c>
      <c r="G99" s="273"/>
      <c r="H99" s="273"/>
      <c r="I99" s="417" t="s">
        <v>1195</v>
      </c>
      <c r="J99" s="274">
        <v>9000</v>
      </c>
      <c r="K99" s="155"/>
      <c r="L99" s="4"/>
      <c r="M99" s="94"/>
      <c r="N99" s="60"/>
      <c r="O99" s="94"/>
      <c r="P99" s="60"/>
      <c r="Q99" s="94"/>
      <c r="R99" s="60"/>
      <c r="S99" s="94"/>
      <c r="T99" s="60"/>
      <c r="U99" s="94"/>
      <c r="V99" s="60"/>
      <c r="W99" s="94"/>
      <c r="X99" s="60"/>
      <c r="Y99" s="94"/>
      <c r="Z99" s="101"/>
      <c r="AA99" s="94"/>
      <c r="AB99" s="101"/>
      <c r="AC99" s="94"/>
      <c r="AD99" s="101"/>
      <c r="AE99" s="94"/>
      <c r="AF99" s="101"/>
      <c r="AG99" s="94"/>
      <c r="AH99" s="101"/>
      <c r="AI99" s="94"/>
      <c r="AJ99" s="100"/>
      <c r="AK99" s="100"/>
    </row>
    <row r="100" spans="1:38" s="149" customFormat="1" ht="15.75" hidden="1" customHeight="1">
      <c r="A100" s="264">
        <v>400010077</v>
      </c>
      <c r="B100" s="276" t="s">
        <v>1254</v>
      </c>
      <c r="C100" s="443"/>
      <c r="D100" s="273"/>
      <c r="E100" s="3"/>
      <c r="F100" s="3"/>
      <c r="G100" s="3"/>
      <c r="H100" s="3"/>
      <c r="I100" s="3"/>
      <c r="J100" s="274">
        <f t="shared" si="30"/>
        <v>14849</v>
      </c>
      <c r="K100" s="278">
        <f t="shared" si="3"/>
        <v>0</v>
      </c>
      <c r="L100" s="279"/>
      <c r="M100" s="280"/>
      <c r="N100" s="281">
        <v>14849</v>
      </c>
      <c r="O100" s="280"/>
      <c r="P100" s="281"/>
      <c r="Q100" s="280"/>
      <c r="R100" s="281"/>
      <c r="S100" s="280"/>
      <c r="T100" s="281"/>
      <c r="U100" s="280"/>
      <c r="V100" s="281"/>
      <c r="W100" s="280"/>
      <c r="X100" s="281"/>
      <c r="Y100" s="280"/>
      <c r="Z100" s="281"/>
      <c r="AA100" s="280"/>
      <c r="AB100" s="281"/>
      <c r="AC100" s="280"/>
      <c r="AD100" s="281"/>
      <c r="AE100" s="280"/>
      <c r="AF100" s="281"/>
      <c r="AG100" s="280"/>
      <c r="AH100" s="281"/>
      <c r="AI100" s="280"/>
      <c r="AJ100" s="282">
        <f t="shared" ref="AJ100:AK100" si="66">J100/12</f>
        <v>1237.4166666666667</v>
      </c>
      <c r="AK100" s="282">
        <f t="shared" si="66"/>
        <v>0</v>
      </c>
    </row>
    <row r="101" spans="1:38" s="299" customFormat="1" ht="26.45" hidden="1">
      <c r="A101" s="304">
        <v>400010078</v>
      </c>
      <c r="B101" s="177" t="s">
        <v>1255</v>
      </c>
      <c r="C101" s="444"/>
      <c r="D101" s="395" t="s">
        <v>1256</v>
      </c>
      <c r="E101" s="3"/>
      <c r="F101" s="3"/>
      <c r="G101" s="3"/>
      <c r="H101" s="3"/>
      <c r="I101" s="3"/>
      <c r="J101" s="274"/>
      <c r="K101" s="396"/>
      <c r="L101" s="4"/>
      <c r="M101" s="99"/>
      <c r="N101" s="4"/>
      <c r="O101" s="99"/>
      <c r="P101" s="4"/>
      <c r="Q101" s="99"/>
      <c r="R101" s="4"/>
      <c r="S101" s="99"/>
      <c r="T101" s="4"/>
      <c r="U101" s="99"/>
      <c r="V101" s="4"/>
      <c r="W101" s="99"/>
      <c r="X101" s="4"/>
      <c r="Y101" s="99"/>
      <c r="Z101" s="4"/>
      <c r="AA101" s="99"/>
      <c r="AB101" s="4"/>
      <c r="AC101" s="99"/>
      <c r="AD101" s="4"/>
      <c r="AE101" s="99"/>
      <c r="AF101" s="4"/>
      <c r="AG101" s="99"/>
      <c r="AH101" s="4"/>
      <c r="AI101" s="99"/>
      <c r="AJ101" s="275"/>
      <c r="AK101" s="275"/>
    </row>
    <row r="102" spans="1:38" s="149" customFormat="1" ht="13.15">
      <c r="A102" s="304">
        <v>400010079</v>
      </c>
      <c r="B102" s="386" t="s">
        <v>1257</v>
      </c>
      <c r="C102" s="445" t="s">
        <v>1258</v>
      </c>
      <c r="D102" s="273" t="s">
        <v>1259</v>
      </c>
      <c r="E102" s="3"/>
      <c r="F102" s="3"/>
      <c r="G102" s="3"/>
      <c r="H102" s="3"/>
      <c r="I102" s="406" t="s">
        <v>1073</v>
      </c>
      <c r="J102" s="274">
        <v>5500</v>
      </c>
      <c r="K102" s="397"/>
      <c r="L102" s="297"/>
      <c r="M102" s="302"/>
      <c r="N102" s="297"/>
      <c r="O102" s="302"/>
      <c r="P102" s="297"/>
      <c r="Q102" s="302"/>
      <c r="R102" s="297"/>
      <c r="S102" s="302"/>
      <c r="T102" s="297"/>
      <c r="U102" s="302"/>
      <c r="V102" s="297"/>
      <c r="W102" s="302"/>
      <c r="X102" s="297"/>
      <c r="Y102" s="302"/>
      <c r="Z102" s="297"/>
      <c r="AA102" s="302"/>
      <c r="AB102" s="297"/>
      <c r="AC102" s="302"/>
      <c r="AD102" s="297"/>
      <c r="AE102" s="302"/>
      <c r="AF102" s="297"/>
      <c r="AG102" s="302"/>
      <c r="AH102" s="297"/>
      <c r="AI102" s="302"/>
      <c r="AJ102" s="298"/>
      <c r="AK102" s="298"/>
    </row>
    <row r="103" spans="1:38" s="149" customFormat="1" ht="26.45">
      <c r="A103" s="304">
        <v>400010080</v>
      </c>
      <c r="B103" s="387" t="s">
        <v>1153</v>
      </c>
      <c r="C103" s="424" t="s">
        <v>1260</v>
      </c>
      <c r="D103" s="301"/>
      <c r="E103" s="293"/>
      <c r="F103" s="293"/>
      <c r="G103" s="388" t="s">
        <v>1181</v>
      </c>
      <c r="H103" s="294"/>
      <c r="I103" s="418" t="s">
        <v>1261</v>
      </c>
      <c r="J103" s="295"/>
      <c r="K103" s="296"/>
      <c r="L103" s="297"/>
      <c r="M103" s="286"/>
      <c r="N103" s="297"/>
      <c r="O103" s="286"/>
      <c r="P103" s="297"/>
      <c r="Q103" s="286"/>
      <c r="R103" s="297"/>
      <c r="S103" s="286"/>
      <c r="T103" s="297"/>
      <c r="U103" s="286"/>
      <c r="V103" s="297"/>
      <c r="W103" s="286"/>
      <c r="X103" s="297"/>
      <c r="Y103" s="286"/>
      <c r="Z103" s="297"/>
      <c r="AA103" s="286"/>
      <c r="AB103" s="297"/>
      <c r="AC103" s="286"/>
      <c r="AD103" s="297"/>
      <c r="AE103" s="286"/>
      <c r="AF103" s="297"/>
      <c r="AG103" s="286"/>
      <c r="AH103" s="297"/>
      <c r="AI103" s="286"/>
      <c r="AJ103" s="298"/>
      <c r="AK103" s="298"/>
    </row>
    <row r="104" spans="1:38" s="149" customFormat="1" ht="13.15">
      <c r="A104" s="304">
        <v>400010081</v>
      </c>
      <c r="B104" s="387" t="s">
        <v>1262</v>
      </c>
      <c r="C104" s="424" t="s">
        <v>1263</v>
      </c>
      <c r="D104" s="301"/>
      <c r="E104" s="293"/>
      <c r="F104" s="293"/>
      <c r="G104" s="388" t="s">
        <v>1264</v>
      </c>
      <c r="H104" s="294"/>
      <c r="I104" s="403" t="s">
        <v>1073</v>
      </c>
      <c r="J104" s="295">
        <v>10230</v>
      </c>
      <c r="K104" s="296"/>
      <c r="L104" s="297"/>
      <c r="M104" s="286"/>
      <c r="N104" s="297"/>
      <c r="O104" s="286"/>
      <c r="P104" s="297"/>
      <c r="Q104" s="286"/>
      <c r="R104" s="297"/>
      <c r="S104" s="286"/>
      <c r="T104" s="297"/>
      <c r="U104" s="286"/>
      <c r="V104" s="297"/>
      <c r="W104" s="286"/>
      <c r="X104" s="297"/>
      <c r="Y104" s="286"/>
      <c r="Z104" s="297">
        <v>10230</v>
      </c>
      <c r="AA104" s="286"/>
      <c r="AB104" s="297"/>
      <c r="AC104" s="286"/>
      <c r="AD104" s="297"/>
      <c r="AE104" s="286"/>
      <c r="AF104" s="297"/>
      <c r="AG104" s="286"/>
      <c r="AH104" s="297"/>
      <c r="AI104" s="286"/>
      <c r="AJ104" s="298"/>
      <c r="AK104" s="298"/>
    </row>
    <row r="105" spans="1:38" s="149" customFormat="1" ht="13.15">
      <c r="A105" s="304"/>
      <c r="B105" s="387" t="s">
        <v>1262</v>
      </c>
      <c r="C105" s="424" t="s">
        <v>1263</v>
      </c>
      <c r="D105" s="301"/>
      <c r="E105" s="293"/>
      <c r="F105" s="293"/>
      <c r="G105" s="388"/>
      <c r="H105" s="294"/>
      <c r="I105" s="403" t="s">
        <v>1073</v>
      </c>
      <c r="J105" s="295">
        <v>3320</v>
      </c>
      <c r="K105" s="296"/>
      <c r="L105" s="297"/>
      <c r="M105" s="286"/>
      <c r="N105" s="297"/>
      <c r="O105" s="286"/>
      <c r="P105" s="297"/>
      <c r="Q105" s="286"/>
      <c r="R105" s="297"/>
      <c r="S105" s="286"/>
      <c r="T105" s="297"/>
      <c r="U105" s="286"/>
      <c r="V105" s="297"/>
      <c r="W105" s="286"/>
      <c r="X105" s="297"/>
      <c r="Y105" s="286"/>
      <c r="Z105" s="297"/>
      <c r="AA105" s="286"/>
      <c r="AB105" s="297">
        <v>3320</v>
      </c>
      <c r="AC105" s="286"/>
      <c r="AD105" s="297"/>
      <c r="AE105" s="286"/>
      <c r="AF105" s="297"/>
      <c r="AG105" s="286"/>
      <c r="AH105" s="297"/>
      <c r="AI105" s="286"/>
      <c r="AJ105" s="298"/>
      <c r="AK105" s="298"/>
    </row>
    <row r="106" spans="1:38" ht="15.75" hidden="1" customHeight="1">
      <c r="A106" s="304">
        <v>400010082</v>
      </c>
      <c r="B106" s="387" t="s">
        <v>1265</v>
      </c>
      <c r="C106" s="446" t="s">
        <v>1266</v>
      </c>
      <c r="D106" s="273"/>
      <c r="E106" s="293"/>
      <c r="F106" s="293"/>
      <c r="G106" s="303" t="s">
        <v>1264</v>
      </c>
      <c r="H106" s="294"/>
      <c r="I106" s="403" t="s">
        <v>1073</v>
      </c>
      <c r="J106" s="295">
        <v>3000</v>
      </c>
      <c r="K106" s="296"/>
      <c r="L106" s="297"/>
      <c r="M106" s="286"/>
      <c r="N106" s="297"/>
      <c r="O106" s="286"/>
      <c r="P106" s="297"/>
      <c r="Q106" s="286"/>
      <c r="R106" s="297"/>
      <c r="S106" s="286"/>
      <c r="T106" s="297"/>
      <c r="U106" s="286"/>
      <c r="V106" s="297"/>
      <c r="W106" s="286"/>
      <c r="X106" s="297"/>
      <c r="Y106" s="286"/>
      <c r="Z106" s="297"/>
      <c r="AA106" s="286"/>
      <c r="AB106" s="297"/>
      <c r="AC106" s="286"/>
      <c r="AD106" s="297"/>
      <c r="AE106" s="286"/>
      <c r="AF106" s="297"/>
      <c r="AG106" s="286"/>
      <c r="AH106" s="297"/>
      <c r="AI106" s="286"/>
      <c r="AJ106" s="298"/>
      <c r="AK106" s="298"/>
      <c r="AL106" s="149"/>
    </row>
    <row r="107" spans="1:38" ht="15.75" hidden="1" customHeight="1">
      <c r="A107" s="304">
        <v>400010083</v>
      </c>
      <c r="B107" s="389" t="s">
        <v>1267</v>
      </c>
      <c r="C107" s="446" t="s">
        <v>1268</v>
      </c>
      <c r="D107" s="273"/>
      <c r="E107" s="293"/>
      <c r="F107" s="293"/>
      <c r="G107" s="303" t="s">
        <v>1264</v>
      </c>
      <c r="H107" s="294"/>
      <c r="I107" s="294"/>
      <c r="J107" s="295">
        <v>4500</v>
      </c>
      <c r="K107" s="296"/>
      <c r="L107" s="297"/>
      <c r="M107" s="286"/>
      <c r="N107" s="297"/>
      <c r="O107" s="286"/>
      <c r="P107" s="297"/>
      <c r="Q107" s="286"/>
      <c r="R107" s="297"/>
      <c r="S107" s="286"/>
      <c r="T107" s="297"/>
      <c r="U107" s="286"/>
      <c r="V107" s="297"/>
      <c r="W107" s="286"/>
      <c r="X107" s="297"/>
      <c r="Y107" s="286"/>
      <c r="Z107" s="297"/>
      <c r="AA107" s="286"/>
      <c r="AB107" s="297"/>
      <c r="AC107" s="286"/>
      <c r="AD107" s="297"/>
      <c r="AE107" s="286"/>
      <c r="AF107" s="297"/>
      <c r="AG107" s="286"/>
      <c r="AH107" s="297"/>
      <c r="AI107" s="286"/>
      <c r="AJ107" s="298"/>
      <c r="AK107" s="298"/>
      <c r="AL107" s="149"/>
    </row>
    <row r="108" spans="1:38" ht="15.75" customHeight="1">
      <c r="A108" s="304">
        <v>400010084</v>
      </c>
      <c r="B108" s="389" t="s">
        <v>278</v>
      </c>
      <c r="C108" s="446" t="s">
        <v>1269</v>
      </c>
      <c r="D108" s="273" t="s">
        <v>1270</v>
      </c>
      <c r="E108" s="293"/>
      <c r="F108" s="293"/>
      <c r="G108" s="303" t="s">
        <v>1090</v>
      </c>
      <c r="H108" s="301" t="s">
        <v>1127</v>
      </c>
      <c r="I108" s="403" t="s">
        <v>1091</v>
      </c>
      <c r="J108" s="295">
        <v>8900</v>
      </c>
      <c r="K108" s="296"/>
      <c r="L108" s="297">
        <v>8900</v>
      </c>
      <c r="M108" s="286">
        <v>8900</v>
      </c>
      <c r="N108" s="297"/>
      <c r="O108" s="286"/>
      <c r="P108" s="297"/>
      <c r="Q108" s="286"/>
      <c r="R108" s="297"/>
      <c r="S108" s="286"/>
      <c r="T108" s="297"/>
      <c r="U108" s="286"/>
      <c r="V108" s="297"/>
      <c r="W108" s="286"/>
      <c r="X108" s="297"/>
      <c r="Y108" s="286"/>
      <c r="Z108" s="297"/>
      <c r="AA108" s="286"/>
      <c r="AB108" s="297"/>
      <c r="AC108" s="286"/>
      <c r="AD108" s="297"/>
      <c r="AE108" s="286"/>
      <c r="AF108" s="297"/>
      <c r="AG108" s="286"/>
      <c r="AH108" s="297"/>
      <c r="AI108" s="286"/>
      <c r="AJ108" s="298"/>
      <c r="AK108" s="298"/>
      <c r="AL108" s="149"/>
    </row>
    <row r="109" spans="1:38" s="149" customFormat="1" ht="15.75" customHeight="1">
      <c r="A109" s="409">
        <v>400010085</v>
      </c>
      <c r="B109" s="410" t="s">
        <v>278</v>
      </c>
      <c r="C109" s="447" t="s">
        <v>753</v>
      </c>
      <c r="D109" s="400" t="s">
        <v>1270</v>
      </c>
      <c r="E109" s="407"/>
      <c r="F109" s="407"/>
      <c r="G109" s="419" t="s">
        <v>1090</v>
      </c>
      <c r="H109" s="401" t="s">
        <v>1271</v>
      </c>
      <c r="I109" s="420" t="s">
        <v>1272</v>
      </c>
      <c r="J109" s="408">
        <f>74000*0.12</f>
        <v>8880</v>
      </c>
      <c r="K109" s="160"/>
      <c r="L109" s="411"/>
      <c r="M109" s="412"/>
      <c r="N109" s="411"/>
      <c r="O109" s="412"/>
      <c r="P109" s="411"/>
      <c r="Q109" s="412"/>
      <c r="R109" s="411"/>
      <c r="S109" s="412"/>
      <c r="T109" s="411"/>
      <c r="U109" s="412"/>
      <c r="V109" s="411"/>
      <c r="W109" s="412"/>
      <c r="X109" s="411"/>
      <c r="Y109" s="412"/>
      <c r="Z109" s="411"/>
      <c r="AA109" s="412"/>
      <c r="AB109" s="411"/>
      <c r="AC109" s="412"/>
      <c r="AD109" s="411"/>
      <c r="AE109" s="412"/>
      <c r="AF109" s="411"/>
      <c r="AG109" s="412"/>
      <c r="AH109" s="411"/>
      <c r="AI109" s="412"/>
      <c r="AJ109" s="413"/>
      <c r="AK109" s="413"/>
    </row>
    <row r="110" spans="1:38" s="299" customFormat="1" ht="15.75" customHeight="1">
      <c r="A110" s="359">
        <v>400010085</v>
      </c>
      <c r="B110" s="509" t="s">
        <v>144</v>
      </c>
      <c r="C110" s="395" t="s">
        <v>1273</v>
      </c>
      <c r="D110" s="358" t="s">
        <v>1274</v>
      </c>
      <c r="E110" s="273"/>
      <c r="F110" s="273"/>
      <c r="G110" s="273" t="s">
        <v>1181</v>
      </c>
      <c r="H110" s="273" t="s">
        <v>1275</v>
      </c>
      <c r="I110" s="406" t="s">
        <v>1276</v>
      </c>
      <c r="J110" s="274">
        <v>0</v>
      </c>
      <c r="K110" s="274"/>
      <c r="L110" s="4"/>
      <c r="M110" s="183"/>
      <c r="N110" s="96"/>
      <c r="O110" s="99"/>
      <c r="P110" s="96"/>
      <c r="Q110" s="99"/>
      <c r="R110" s="96"/>
      <c r="S110" s="99"/>
      <c r="T110" s="96"/>
      <c r="U110" s="99"/>
      <c r="V110" s="96"/>
      <c r="W110" s="99"/>
      <c r="X110" s="96"/>
      <c r="Y110" s="99"/>
      <c r="Z110" s="96"/>
      <c r="AA110" s="99"/>
      <c r="AB110" s="96"/>
      <c r="AC110" s="99"/>
      <c r="AD110" s="96"/>
      <c r="AE110" s="99"/>
      <c r="AF110" s="96"/>
      <c r="AG110" s="99"/>
      <c r="AH110" s="96"/>
      <c r="AI110" s="99"/>
      <c r="AJ110" s="274"/>
      <c r="AK110" s="274"/>
    </row>
    <row r="111" spans="1:38" s="149" customFormat="1" ht="15.75" customHeight="1">
      <c r="A111" s="300"/>
      <c r="B111" s="510"/>
      <c r="C111" s="448" t="s">
        <v>1277</v>
      </c>
      <c r="D111" s="372"/>
      <c r="E111" s="301"/>
      <c r="F111" s="301"/>
      <c r="G111" s="301"/>
      <c r="H111" s="404"/>
      <c r="I111" s="403" t="s">
        <v>1073</v>
      </c>
      <c r="J111" s="405">
        <v>650</v>
      </c>
      <c r="K111" s="295"/>
      <c r="L111" s="297"/>
      <c r="M111" s="414"/>
      <c r="N111" s="415">
        <v>650</v>
      </c>
      <c r="O111" s="302">
        <v>650</v>
      </c>
      <c r="P111" s="415"/>
      <c r="Q111" s="302"/>
      <c r="R111" s="415"/>
      <c r="S111" s="302"/>
      <c r="T111" s="415"/>
      <c r="U111" s="302"/>
      <c r="V111" s="415"/>
      <c r="W111" s="302"/>
      <c r="X111" s="415"/>
      <c r="Y111" s="302"/>
      <c r="Z111" s="415"/>
      <c r="AA111" s="302"/>
      <c r="AB111" s="415"/>
      <c r="AC111" s="302"/>
      <c r="AD111" s="415"/>
      <c r="AE111" s="302"/>
      <c r="AF111" s="415"/>
      <c r="AG111" s="302"/>
      <c r="AH111" s="415"/>
      <c r="AI111" s="302"/>
      <c r="AJ111" s="295"/>
      <c r="AK111" s="295"/>
    </row>
    <row r="112" spans="1:38" s="149" customFormat="1" ht="15.75" hidden="1" customHeight="1">
      <c r="A112" s="300"/>
      <c r="B112" s="510"/>
      <c r="C112" s="448" t="s">
        <v>1146</v>
      </c>
      <c r="D112" s="372"/>
      <c r="E112" s="301"/>
      <c r="F112" s="301"/>
      <c r="G112" s="301"/>
      <c r="H112" s="404"/>
      <c r="I112" s="301"/>
      <c r="J112" s="405">
        <v>3000</v>
      </c>
      <c r="K112" s="295"/>
      <c r="L112" s="297"/>
      <c r="M112" s="414"/>
      <c r="N112" s="415"/>
      <c r="O112" s="302"/>
      <c r="P112" s="415"/>
      <c r="Q112" s="302"/>
      <c r="R112" s="415"/>
      <c r="S112" s="302"/>
      <c r="T112" s="415"/>
      <c r="U112" s="302"/>
      <c r="V112" s="415"/>
      <c r="W112" s="302"/>
      <c r="X112" s="415"/>
      <c r="Y112" s="302"/>
      <c r="Z112" s="415"/>
      <c r="AA112" s="302"/>
      <c r="AB112" s="415"/>
      <c r="AC112" s="302"/>
      <c r="AD112" s="415"/>
      <c r="AE112" s="302"/>
      <c r="AF112" s="415"/>
      <c r="AG112" s="302"/>
      <c r="AH112" s="415"/>
      <c r="AI112" s="302"/>
      <c r="AJ112" s="295"/>
      <c r="AK112" s="295"/>
    </row>
    <row r="113" spans="1:38" ht="15.75" hidden="1" customHeight="1">
      <c r="A113" s="300"/>
      <c r="B113" s="511"/>
      <c r="C113" s="453" t="s">
        <v>1146</v>
      </c>
      <c r="D113" s="372"/>
      <c r="E113" s="301"/>
      <c r="F113" s="301"/>
      <c r="G113" s="301"/>
      <c r="H113" s="301"/>
      <c r="I113" s="301"/>
      <c r="J113" s="295">
        <v>7220</v>
      </c>
      <c r="K113" s="284"/>
      <c r="L113" s="297"/>
      <c r="M113" s="356"/>
      <c r="N113" s="357"/>
      <c r="O113" s="286"/>
      <c r="P113" s="357"/>
      <c r="Q113" s="286"/>
      <c r="R113" s="357"/>
      <c r="S113" s="286"/>
      <c r="T113" s="357"/>
      <c r="U113" s="286"/>
      <c r="V113" s="357"/>
      <c r="W113" s="286"/>
      <c r="X113" s="357"/>
      <c r="Y113" s="286"/>
      <c r="Z113" s="357"/>
      <c r="AA113" s="286"/>
      <c r="AB113" s="357"/>
      <c r="AC113" s="286"/>
      <c r="AD113" s="357"/>
      <c r="AE113" s="286"/>
      <c r="AF113" s="357"/>
      <c r="AG113" s="286"/>
      <c r="AH113" s="357"/>
      <c r="AI113" s="286"/>
      <c r="AJ113" s="284"/>
      <c r="AK113" s="284"/>
    </row>
    <row r="114" spans="1:38" ht="15.75" customHeight="1">
      <c r="A114" s="300"/>
      <c r="B114" s="512" t="s">
        <v>144</v>
      </c>
      <c r="C114" s="395" t="s">
        <v>1278</v>
      </c>
      <c r="D114" s="452"/>
      <c r="E114" s="303"/>
      <c r="F114" s="303"/>
      <c r="G114" s="303" t="s">
        <v>1181</v>
      </c>
      <c r="H114" s="301" t="s">
        <v>1279</v>
      </c>
      <c r="I114" s="403" t="s">
        <v>1280</v>
      </c>
      <c r="J114" s="402">
        <v>0</v>
      </c>
      <c r="K114" s="284"/>
      <c r="L114" s="297"/>
      <c r="M114" s="356"/>
      <c r="N114" s="357"/>
      <c r="O114" s="286"/>
      <c r="P114" s="357"/>
      <c r="Q114" s="286"/>
      <c r="R114" s="357"/>
      <c r="S114" s="286"/>
      <c r="T114" s="357"/>
      <c r="U114" s="286"/>
      <c r="V114" s="357"/>
      <c r="W114" s="286"/>
      <c r="X114" s="357"/>
      <c r="Y114" s="286"/>
      <c r="Z114" s="357"/>
      <c r="AA114" s="286"/>
      <c r="AB114" s="357"/>
      <c r="AC114" s="286"/>
      <c r="AD114" s="357"/>
      <c r="AE114" s="286"/>
      <c r="AF114" s="357"/>
      <c r="AG114" s="286"/>
      <c r="AH114" s="357"/>
      <c r="AI114" s="286"/>
      <c r="AJ114" s="284"/>
      <c r="AK114" s="284"/>
    </row>
    <row r="115" spans="1:38" ht="15.75" customHeight="1">
      <c r="A115" s="359">
        <v>400010086</v>
      </c>
      <c r="B115" s="513"/>
      <c r="C115" s="424" t="s">
        <v>1281</v>
      </c>
      <c r="D115" s="301"/>
      <c r="E115" s="293"/>
      <c r="F115" s="293"/>
      <c r="G115" s="293"/>
      <c r="H115" s="294"/>
      <c r="I115" s="403" t="s">
        <v>1073</v>
      </c>
      <c r="J115" s="402">
        <v>9000</v>
      </c>
      <c r="K115" s="296"/>
      <c r="L115" s="297">
        <v>9000</v>
      </c>
      <c r="M115" s="286">
        <v>9000</v>
      </c>
      <c r="N115" s="297"/>
      <c r="O115" s="286"/>
      <c r="P115" s="297"/>
      <c r="Q115" s="286"/>
      <c r="R115" s="297"/>
      <c r="S115" s="286"/>
      <c r="T115" s="297"/>
      <c r="U115" s="286"/>
      <c r="V115" s="297"/>
      <c r="W115" s="286"/>
      <c r="X115" s="297"/>
      <c r="Y115" s="286"/>
      <c r="Z115" s="297"/>
      <c r="AA115" s="286"/>
      <c r="AB115" s="297"/>
      <c r="AC115" s="286"/>
      <c r="AD115" s="297"/>
      <c r="AE115" s="286"/>
      <c r="AF115" s="297"/>
      <c r="AG115" s="286"/>
      <c r="AH115" s="297"/>
      <c r="AI115" s="286"/>
      <c r="AJ115" s="298"/>
      <c r="AK115" s="298"/>
      <c r="AL115" s="149"/>
    </row>
    <row r="116" spans="1:38" ht="15.75" customHeight="1">
      <c r="A116" s="359"/>
      <c r="B116" s="514"/>
      <c r="C116" s="446" t="s">
        <v>1282</v>
      </c>
      <c r="D116" s="301"/>
      <c r="E116" s="293"/>
      <c r="F116" s="293"/>
      <c r="G116" s="293"/>
      <c r="H116" s="294"/>
      <c r="I116" s="403" t="s">
        <v>1073</v>
      </c>
      <c r="J116" s="402">
        <v>3500</v>
      </c>
      <c r="K116" s="296"/>
      <c r="L116" s="297">
        <v>3500</v>
      </c>
      <c r="M116" s="286">
        <v>3500</v>
      </c>
      <c r="N116" s="297"/>
      <c r="O116" s="286"/>
      <c r="P116" s="297"/>
      <c r="Q116" s="286"/>
      <c r="R116" s="297"/>
      <c r="S116" s="286"/>
      <c r="T116" s="297"/>
      <c r="U116" s="286"/>
      <c r="V116" s="297"/>
      <c r="W116" s="286"/>
      <c r="X116" s="297"/>
      <c r="Y116" s="286"/>
      <c r="Z116" s="297"/>
      <c r="AA116" s="286"/>
      <c r="AB116" s="297"/>
      <c r="AC116" s="286"/>
      <c r="AD116" s="297"/>
      <c r="AE116" s="286"/>
      <c r="AF116" s="297"/>
      <c r="AG116" s="286"/>
      <c r="AH116" s="297"/>
      <c r="AI116" s="286"/>
      <c r="AJ116" s="298"/>
      <c r="AK116" s="298"/>
      <c r="AL116" s="149"/>
    </row>
    <row r="117" spans="1:38" ht="13.15">
      <c r="A117" s="359">
        <v>400010087</v>
      </c>
      <c r="B117" s="388" t="s">
        <v>1283</v>
      </c>
      <c r="C117" s="446" t="s">
        <v>1283</v>
      </c>
      <c r="D117" s="301" t="s">
        <v>1284</v>
      </c>
      <c r="E117" s="293"/>
      <c r="F117" s="293"/>
      <c r="G117" s="293"/>
      <c r="H117" s="294"/>
      <c r="I117" s="426" t="s">
        <v>1195</v>
      </c>
      <c r="J117" s="295"/>
      <c r="K117" s="296"/>
      <c r="L117" s="297"/>
      <c r="M117" s="286"/>
      <c r="N117" s="297"/>
      <c r="O117" s="286"/>
      <c r="P117" s="297"/>
      <c r="Q117" s="286"/>
      <c r="R117" s="297"/>
      <c r="S117" s="286"/>
      <c r="T117" s="297"/>
      <c r="U117" s="286"/>
      <c r="V117" s="297"/>
      <c r="W117" s="286"/>
      <c r="X117" s="297"/>
      <c r="Y117" s="286"/>
      <c r="Z117" s="297"/>
      <c r="AA117" s="286"/>
      <c r="AB117" s="297"/>
      <c r="AC117" s="286"/>
      <c r="AD117" s="297"/>
      <c r="AE117" s="286"/>
      <c r="AF117" s="297"/>
      <c r="AG117" s="286"/>
      <c r="AH117" s="297"/>
      <c r="AI117" s="286"/>
      <c r="AJ117" s="298"/>
      <c r="AK117" s="298"/>
      <c r="AL117" s="149"/>
    </row>
    <row r="118" spans="1:38" ht="13.15">
      <c r="A118" s="359">
        <v>400010088</v>
      </c>
      <c r="B118" s="388" t="s">
        <v>1153</v>
      </c>
      <c r="C118" s="446" t="s">
        <v>565</v>
      </c>
      <c r="D118" s="301"/>
      <c r="E118" s="293"/>
      <c r="F118" s="422" t="s">
        <v>102</v>
      </c>
      <c r="G118" s="422"/>
      <c r="H118" s="423" t="s">
        <v>1182</v>
      </c>
      <c r="I118" s="421" t="s">
        <v>1140</v>
      </c>
      <c r="J118" s="295"/>
      <c r="K118" s="296"/>
      <c r="L118" s="297"/>
      <c r="M118" s="286"/>
      <c r="N118" s="297"/>
      <c r="O118" s="286"/>
      <c r="P118" s="297"/>
      <c r="Q118" s="286"/>
      <c r="R118" s="297"/>
      <c r="S118" s="286"/>
      <c r="T118" s="297"/>
      <c r="U118" s="286"/>
      <c r="V118" s="297"/>
      <c r="W118" s="286"/>
      <c r="X118" s="297"/>
      <c r="Y118" s="286"/>
      <c r="Z118" s="297"/>
      <c r="AA118" s="286"/>
      <c r="AB118" s="297"/>
      <c r="AC118" s="286"/>
      <c r="AD118" s="297"/>
      <c r="AE118" s="286"/>
      <c r="AF118" s="297"/>
      <c r="AG118" s="286"/>
      <c r="AH118" s="297"/>
      <c r="AI118" s="286"/>
      <c r="AJ118" s="298"/>
      <c r="AK118" s="298"/>
      <c r="AL118" s="149"/>
    </row>
    <row r="119" spans="1:38" ht="15.75" customHeight="1">
      <c r="A119" s="359">
        <v>400010089</v>
      </c>
      <c r="B119" s="388" t="s">
        <v>1153</v>
      </c>
      <c r="C119" s="446" t="s">
        <v>1285</v>
      </c>
      <c r="D119" s="273"/>
      <c r="E119" s="293"/>
      <c r="F119" s="424" t="s">
        <v>1286</v>
      </c>
      <c r="G119" s="303" t="s">
        <v>1181</v>
      </c>
      <c r="H119" s="301" t="s">
        <v>1287</v>
      </c>
      <c r="I119" s="403" t="s">
        <v>1288</v>
      </c>
      <c r="J119" s="295"/>
      <c r="K119" s="296"/>
      <c r="L119" s="297"/>
      <c r="M119" s="286"/>
      <c r="N119" s="297"/>
      <c r="O119" s="286"/>
      <c r="P119" s="297"/>
      <c r="Q119" s="286"/>
      <c r="R119" s="297"/>
      <c r="S119" s="286"/>
      <c r="T119" s="297"/>
      <c r="U119" s="286"/>
      <c r="V119" s="297"/>
      <c r="W119" s="286"/>
      <c r="X119" s="297"/>
      <c r="Y119" s="286"/>
      <c r="Z119" s="297"/>
      <c r="AA119" s="286"/>
      <c r="AB119" s="297"/>
      <c r="AC119" s="286"/>
      <c r="AD119" s="297"/>
      <c r="AE119" s="286"/>
      <c r="AF119" s="297"/>
      <c r="AG119" s="286"/>
      <c r="AH119" s="297"/>
      <c r="AI119" s="286"/>
      <c r="AJ119" s="298"/>
      <c r="AK119" s="298"/>
      <c r="AL119" s="149"/>
    </row>
    <row r="120" spans="1:38" ht="15.75" customHeight="1">
      <c r="A120" s="359">
        <v>400010090</v>
      </c>
      <c r="B120" s="388" t="s">
        <v>1153</v>
      </c>
      <c r="C120" s="446" t="s">
        <v>649</v>
      </c>
      <c r="D120" s="273"/>
      <c r="E120" s="293"/>
      <c r="F120" s="424" t="s">
        <v>1286</v>
      </c>
      <c r="G120" s="303" t="s">
        <v>1181</v>
      </c>
      <c r="H120" s="301" t="s">
        <v>1287</v>
      </c>
      <c r="I120" s="403" t="s">
        <v>1288</v>
      </c>
      <c r="J120" s="295"/>
      <c r="K120" s="296"/>
      <c r="L120" s="297"/>
      <c r="M120" s="286"/>
      <c r="N120" s="297"/>
      <c r="O120" s="286"/>
      <c r="P120" s="297"/>
      <c r="Q120" s="286"/>
      <c r="R120" s="297"/>
      <c r="S120" s="286"/>
      <c r="T120" s="297"/>
      <c r="U120" s="286"/>
      <c r="V120" s="297"/>
      <c r="W120" s="286"/>
      <c r="X120" s="297"/>
      <c r="Y120" s="286"/>
      <c r="Z120" s="297"/>
      <c r="AA120" s="286"/>
      <c r="AB120" s="297"/>
      <c r="AC120" s="286"/>
      <c r="AD120" s="297"/>
      <c r="AE120" s="286"/>
      <c r="AF120" s="297"/>
      <c r="AG120" s="286"/>
      <c r="AH120" s="297"/>
      <c r="AI120" s="286"/>
      <c r="AJ120" s="298"/>
      <c r="AK120" s="298"/>
      <c r="AL120" s="149"/>
    </row>
    <row r="121" spans="1:38" ht="15.75" customHeight="1">
      <c r="A121" s="359">
        <v>400010091</v>
      </c>
      <c r="B121" s="388" t="s">
        <v>1153</v>
      </c>
      <c r="C121" s="446" t="s">
        <v>1289</v>
      </c>
      <c r="D121" s="273"/>
      <c r="E121" s="293"/>
      <c r="F121" s="303" t="s">
        <v>1139</v>
      </c>
      <c r="G121" s="303" t="s">
        <v>1090</v>
      </c>
      <c r="H121" s="301" t="s">
        <v>1127</v>
      </c>
      <c r="I121" s="403" t="s">
        <v>1091</v>
      </c>
      <c r="J121" s="295">
        <v>2500</v>
      </c>
      <c r="K121" s="296"/>
      <c r="L121" s="297">
        <v>2500</v>
      </c>
      <c r="M121" s="286">
        <v>2500</v>
      </c>
      <c r="N121" s="297"/>
      <c r="O121" s="286"/>
      <c r="P121" s="297"/>
      <c r="Q121" s="286"/>
      <c r="R121" s="297"/>
      <c r="S121" s="286"/>
      <c r="T121" s="297"/>
      <c r="U121" s="286"/>
      <c r="V121" s="297"/>
      <c r="W121" s="286"/>
      <c r="X121" s="297"/>
      <c r="Y121" s="286"/>
      <c r="Z121" s="297"/>
      <c r="AA121" s="286"/>
      <c r="AB121" s="297"/>
      <c r="AC121" s="286"/>
      <c r="AD121" s="297"/>
      <c r="AE121" s="286"/>
      <c r="AF121" s="297"/>
      <c r="AG121" s="286"/>
      <c r="AH121" s="297"/>
      <c r="AI121" s="286"/>
      <c r="AJ121" s="298"/>
      <c r="AK121" s="298"/>
      <c r="AL121" s="149"/>
    </row>
    <row r="122" spans="1:38" ht="15.75" customHeight="1">
      <c r="A122" s="359">
        <v>400010092</v>
      </c>
      <c r="B122" s="388" t="s">
        <v>1153</v>
      </c>
      <c r="C122" s="446" t="s">
        <v>1290</v>
      </c>
      <c r="D122" s="273"/>
      <c r="E122" s="293"/>
      <c r="F122" s="303" t="s">
        <v>1139</v>
      </c>
      <c r="G122" s="303" t="s">
        <v>1181</v>
      </c>
      <c r="H122" s="301" t="s">
        <v>1291</v>
      </c>
      <c r="I122" s="403" t="s">
        <v>1292</v>
      </c>
      <c r="J122" s="295"/>
      <c r="K122" s="296"/>
      <c r="L122" s="297"/>
      <c r="M122" s="286"/>
      <c r="N122" s="297"/>
      <c r="O122" s="286"/>
      <c r="P122" s="297"/>
      <c r="Q122" s="286"/>
      <c r="R122" s="297"/>
      <c r="S122" s="286"/>
      <c r="T122" s="297"/>
      <c r="U122" s="286"/>
      <c r="V122" s="297"/>
      <c r="W122" s="286"/>
      <c r="X122" s="297"/>
      <c r="Y122" s="286"/>
      <c r="Z122" s="297"/>
      <c r="AA122" s="286"/>
      <c r="AB122" s="297"/>
      <c r="AC122" s="286"/>
      <c r="AD122" s="297"/>
      <c r="AE122" s="286"/>
      <c r="AF122" s="297"/>
      <c r="AG122" s="286"/>
      <c r="AH122" s="297"/>
      <c r="AI122" s="286"/>
      <c r="AJ122" s="298"/>
      <c r="AK122" s="298"/>
      <c r="AL122" s="149"/>
    </row>
    <row r="123" spans="1:38" ht="15.75" customHeight="1">
      <c r="A123" s="359">
        <v>400010093</v>
      </c>
      <c r="B123" s="388" t="s">
        <v>1153</v>
      </c>
      <c r="C123" s="446" t="s">
        <v>1293</v>
      </c>
      <c r="D123" s="273"/>
      <c r="E123" s="293"/>
      <c r="F123" s="303" t="s">
        <v>1139</v>
      </c>
      <c r="G123" s="303" t="s">
        <v>1181</v>
      </c>
      <c r="H123" s="301" t="s">
        <v>1105</v>
      </c>
      <c r="I123" s="403" t="s">
        <v>1294</v>
      </c>
      <c r="J123" s="295"/>
      <c r="K123" s="296"/>
      <c r="L123" s="297"/>
      <c r="M123" s="286"/>
      <c r="N123" s="297"/>
      <c r="O123" s="286"/>
      <c r="P123" s="297"/>
      <c r="Q123" s="286"/>
      <c r="R123" s="297"/>
      <c r="S123" s="286"/>
      <c r="T123" s="297"/>
      <c r="U123" s="286"/>
      <c r="V123" s="297"/>
      <c r="W123" s="286"/>
      <c r="X123" s="297"/>
      <c r="Y123" s="286"/>
      <c r="Z123" s="297"/>
      <c r="AA123" s="286"/>
      <c r="AB123" s="297"/>
      <c r="AC123" s="286"/>
      <c r="AD123" s="297"/>
      <c r="AE123" s="286"/>
      <c r="AF123" s="297"/>
      <c r="AG123" s="286"/>
      <c r="AH123" s="297"/>
      <c r="AI123" s="286"/>
      <c r="AJ123" s="298"/>
      <c r="AK123" s="298"/>
      <c r="AL123" s="149"/>
    </row>
    <row r="124" spans="1:38" ht="15.75" customHeight="1">
      <c r="A124" s="359">
        <v>400010094</v>
      </c>
      <c r="B124" s="388" t="s">
        <v>1153</v>
      </c>
      <c r="C124" s="446" t="s">
        <v>275</v>
      </c>
      <c r="D124" s="273"/>
      <c r="E124" s="293"/>
      <c r="F124" s="303" t="s">
        <v>1295</v>
      </c>
      <c r="G124" s="303" t="s">
        <v>1181</v>
      </c>
      <c r="H124" s="301" t="s">
        <v>1296</v>
      </c>
      <c r="I124" s="403" t="s">
        <v>1297</v>
      </c>
      <c r="J124" s="295"/>
      <c r="K124" s="296"/>
      <c r="L124" s="297"/>
      <c r="M124" s="286"/>
      <c r="N124" s="297"/>
      <c r="O124" s="286"/>
      <c r="P124" s="297"/>
      <c r="Q124" s="286"/>
      <c r="R124" s="297"/>
      <c r="S124" s="286"/>
      <c r="T124" s="297"/>
      <c r="U124" s="286"/>
      <c r="V124" s="297"/>
      <c r="W124" s="286"/>
      <c r="X124" s="297"/>
      <c r="Y124" s="286"/>
      <c r="Z124" s="297"/>
      <c r="AA124" s="286"/>
      <c r="AB124" s="297"/>
      <c r="AC124" s="286"/>
      <c r="AD124" s="297"/>
      <c r="AE124" s="286"/>
      <c r="AF124" s="297"/>
      <c r="AG124" s="286"/>
      <c r="AH124" s="297"/>
      <c r="AI124" s="286"/>
      <c r="AJ124" s="298"/>
      <c r="AK124" s="298"/>
      <c r="AL124" s="149"/>
    </row>
    <row r="125" spans="1:38" ht="15.75" customHeight="1">
      <c r="A125" s="359">
        <v>400010085</v>
      </c>
      <c r="B125" s="388" t="s">
        <v>1153</v>
      </c>
      <c r="C125" s="446" t="s">
        <v>1298</v>
      </c>
      <c r="D125" s="273"/>
      <c r="E125" s="293"/>
      <c r="F125" s="303" t="s">
        <v>1139</v>
      </c>
      <c r="G125" s="303"/>
      <c r="H125" s="301"/>
      <c r="I125" s="421" t="s">
        <v>1299</v>
      </c>
      <c r="J125" s="295"/>
      <c r="K125" s="296"/>
      <c r="L125" s="297"/>
      <c r="M125" s="286"/>
      <c r="N125" s="297"/>
      <c r="O125" s="286"/>
      <c r="P125" s="297"/>
      <c r="Q125" s="286"/>
      <c r="R125" s="297"/>
      <c r="S125" s="286"/>
      <c r="T125" s="297"/>
      <c r="U125" s="286"/>
      <c r="V125" s="297"/>
      <c r="W125" s="286"/>
      <c r="X125" s="297"/>
      <c r="Y125" s="286"/>
      <c r="Z125" s="297"/>
      <c r="AA125" s="286"/>
      <c r="AB125" s="297"/>
      <c r="AC125" s="286"/>
      <c r="AD125" s="297"/>
      <c r="AE125" s="286"/>
      <c r="AF125" s="297"/>
      <c r="AG125" s="286"/>
      <c r="AH125" s="297"/>
      <c r="AI125" s="286"/>
      <c r="AJ125" s="298"/>
      <c r="AK125" s="298"/>
      <c r="AL125" s="149"/>
    </row>
    <row r="126" spans="1:38" ht="15.75" customHeight="1">
      <c r="A126" s="359">
        <v>400010086</v>
      </c>
      <c r="B126" s="388" t="s">
        <v>1153</v>
      </c>
      <c r="C126" s="446" t="s">
        <v>1300</v>
      </c>
      <c r="D126" s="273"/>
      <c r="E126" s="293"/>
      <c r="F126" s="303" t="s">
        <v>1139</v>
      </c>
      <c r="G126" s="303" t="s">
        <v>1181</v>
      </c>
      <c r="H126" s="301" t="s">
        <v>1127</v>
      </c>
      <c r="I126" s="403" t="s">
        <v>1091</v>
      </c>
      <c r="J126" s="295"/>
      <c r="K126" s="296"/>
      <c r="L126" s="297"/>
      <c r="M126" s="286"/>
      <c r="N126" s="297"/>
      <c r="O126" s="286"/>
      <c r="P126" s="297"/>
      <c r="Q126" s="286"/>
      <c r="R126" s="297"/>
      <c r="S126" s="286"/>
      <c r="T126" s="297"/>
      <c r="U126" s="286"/>
      <c r="V126" s="297"/>
      <c r="W126" s="286"/>
      <c r="X126" s="297"/>
      <c r="Y126" s="286"/>
      <c r="Z126" s="297"/>
      <c r="AA126" s="286"/>
      <c r="AB126" s="297"/>
      <c r="AC126" s="286"/>
      <c r="AD126" s="297"/>
      <c r="AE126" s="286"/>
      <c r="AF126" s="297"/>
      <c r="AG126" s="286"/>
      <c r="AH126" s="297"/>
      <c r="AI126" s="286"/>
      <c r="AJ126" s="298"/>
      <c r="AK126" s="298"/>
      <c r="AL126" s="149"/>
    </row>
    <row r="127" spans="1:38" ht="15.75" customHeight="1">
      <c r="A127" s="359">
        <v>400010097</v>
      </c>
      <c r="B127" s="388" t="s">
        <v>1153</v>
      </c>
      <c r="C127" s="446" t="s">
        <v>1301</v>
      </c>
      <c r="D127" s="273"/>
      <c r="E127" s="293"/>
      <c r="F127" s="303" t="s">
        <v>1139</v>
      </c>
      <c r="G127" s="303" t="s">
        <v>1181</v>
      </c>
      <c r="H127" s="301" t="s">
        <v>1302</v>
      </c>
      <c r="I127" s="403" t="s">
        <v>1303</v>
      </c>
      <c r="J127" s="295"/>
      <c r="K127" s="296"/>
      <c r="L127" s="297"/>
      <c r="M127" s="286"/>
      <c r="N127" s="297"/>
      <c r="O127" s="286"/>
      <c r="P127" s="297"/>
      <c r="Q127" s="286"/>
      <c r="R127" s="297"/>
      <c r="S127" s="286"/>
      <c r="T127" s="297"/>
      <c r="U127" s="286"/>
      <c r="V127" s="297"/>
      <c r="W127" s="286"/>
      <c r="X127" s="297"/>
      <c r="Y127" s="286"/>
      <c r="Z127" s="297"/>
      <c r="AA127" s="286"/>
      <c r="AB127" s="297"/>
      <c r="AC127" s="286"/>
      <c r="AD127" s="297"/>
      <c r="AE127" s="286"/>
      <c r="AF127" s="297"/>
      <c r="AG127" s="286"/>
      <c r="AH127" s="297"/>
      <c r="AI127" s="286"/>
      <c r="AJ127" s="298"/>
      <c r="AK127" s="298"/>
      <c r="AL127" s="149"/>
    </row>
    <row r="128" spans="1:38" ht="15.75" customHeight="1">
      <c r="A128" s="359">
        <v>400010098</v>
      </c>
      <c r="B128" s="388" t="s">
        <v>1153</v>
      </c>
      <c r="C128" s="446" t="s">
        <v>1304</v>
      </c>
      <c r="D128" s="273"/>
      <c r="E128" s="293"/>
      <c r="F128" s="303" t="s">
        <v>1139</v>
      </c>
      <c r="G128" s="303" t="s">
        <v>1181</v>
      </c>
      <c r="H128" s="301" t="s">
        <v>1305</v>
      </c>
      <c r="I128" s="403" t="s">
        <v>1306</v>
      </c>
      <c r="J128" s="295"/>
      <c r="K128" s="296"/>
      <c r="L128" s="297"/>
      <c r="M128" s="286"/>
      <c r="N128" s="297"/>
      <c r="O128" s="286"/>
      <c r="P128" s="297"/>
      <c r="Q128" s="286"/>
      <c r="R128" s="297"/>
      <c r="S128" s="286"/>
      <c r="T128" s="297"/>
      <c r="U128" s="286"/>
      <c r="V128" s="297"/>
      <c r="W128" s="286"/>
      <c r="X128" s="297"/>
      <c r="Y128" s="286"/>
      <c r="Z128" s="297"/>
      <c r="AA128" s="286"/>
      <c r="AB128" s="297"/>
      <c r="AC128" s="286"/>
      <c r="AD128" s="297"/>
      <c r="AE128" s="286"/>
      <c r="AF128" s="297"/>
      <c r="AG128" s="286"/>
      <c r="AH128" s="297"/>
      <c r="AI128" s="286"/>
      <c r="AJ128" s="298"/>
      <c r="AK128" s="298"/>
      <c r="AL128" s="149"/>
    </row>
    <row r="129" spans="1:38" ht="15.75" customHeight="1">
      <c r="A129" s="359">
        <v>400010099</v>
      </c>
      <c r="B129" s="427" t="s">
        <v>1153</v>
      </c>
      <c r="C129" s="446" t="s">
        <v>1307</v>
      </c>
      <c r="D129" s="273"/>
      <c r="E129" s="293"/>
      <c r="F129" s="303"/>
      <c r="G129" s="303" t="s">
        <v>1181</v>
      </c>
      <c r="H129" s="301" t="s">
        <v>1174</v>
      </c>
      <c r="I129" s="403" t="s">
        <v>1308</v>
      </c>
      <c r="J129" s="295"/>
      <c r="K129" s="296"/>
      <c r="L129" s="297"/>
      <c r="M129" s="286"/>
      <c r="N129" s="297"/>
      <c r="O129" s="286"/>
      <c r="P129" s="297"/>
      <c r="Q129" s="286"/>
      <c r="R129" s="297"/>
      <c r="S129" s="286"/>
      <c r="T129" s="297"/>
      <c r="U129" s="286"/>
      <c r="V129" s="297"/>
      <c r="W129" s="286"/>
      <c r="X129" s="297"/>
      <c r="Y129" s="286"/>
      <c r="Z129" s="297"/>
      <c r="AA129" s="286"/>
      <c r="AB129" s="297"/>
      <c r="AC129" s="286"/>
      <c r="AD129" s="297"/>
      <c r="AE129" s="286"/>
      <c r="AF129" s="297"/>
      <c r="AG129" s="286"/>
      <c r="AH129" s="297"/>
      <c r="AI129" s="286"/>
      <c r="AJ129" s="298"/>
      <c r="AK129" s="298"/>
      <c r="AL129" s="149"/>
    </row>
    <row r="130" spans="1:38" ht="15.75" customHeight="1">
      <c r="A130" s="359">
        <v>400010100</v>
      </c>
      <c r="B130" s="520" t="s">
        <v>1309</v>
      </c>
      <c r="C130" s="446" t="s">
        <v>1310</v>
      </c>
      <c r="D130" s="273"/>
      <c r="E130" s="293"/>
      <c r="F130" s="303" t="s">
        <v>102</v>
      </c>
      <c r="G130" s="303" t="s">
        <v>1181</v>
      </c>
      <c r="H130" s="301" t="s">
        <v>1311</v>
      </c>
      <c r="I130" s="403" t="s">
        <v>1312</v>
      </c>
      <c r="J130" s="295"/>
      <c r="K130" s="296"/>
      <c r="L130" s="297"/>
      <c r="M130" s="286"/>
      <c r="N130" s="297"/>
      <c r="O130" s="286"/>
      <c r="P130" s="297"/>
      <c r="Q130" s="286"/>
      <c r="R130" s="297"/>
      <c r="S130" s="286"/>
      <c r="T130" s="297"/>
      <c r="U130" s="286"/>
      <c r="V130" s="297"/>
      <c r="W130" s="286"/>
      <c r="X130" s="297"/>
      <c r="Y130" s="286"/>
      <c r="Z130" s="297"/>
      <c r="AA130" s="286"/>
      <c r="AB130" s="297"/>
      <c r="AC130" s="286"/>
      <c r="AD130" s="297"/>
      <c r="AE130" s="286"/>
      <c r="AF130" s="297"/>
      <c r="AG130" s="286"/>
      <c r="AH130" s="297"/>
      <c r="AI130" s="286"/>
      <c r="AJ130" s="298"/>
      <c r="AK130" s="298"/>
      <c r="AL130" s="149"/>
    </row>
    <row r="131" spans="1:38" ht="15.75" customHeight="1">
      <c r="A131" s="359">
        <v>400010101</v>
      </c>
      <c r="B131" s="522"/>
      <c r="C131" s="446" t="s">
        <v>1313</v>
      </c>
      <c r="D131" s="273"/>
      <c r="E131" s="293"/>
      <c r="F131" s="303" t="s">
        <v>102</v>
      </c>
      <c r="G131" s="303"/>
      <c r="H131" s="301" t="s">
        <v>1314</v>
      </c>
      <c r="I131" s="421" t="s">
        <v>1315</v>
      </c>
      <c r="J131" s="295"/>
      <c r="K131" s="296"/>
      <c r="L131" s="297"/>
      <c r="M131" s="286"/>
      <c r="N131" s="297"/>
      <c r="O131" s="286"/>
      <c r="P131" s="297"/>
      <c r="Q131" s="286"/>
      <c r="R131" s="297"/>
      <c r="S131" s="286"/>
      <c r="T131" s="297"/>
      <c r="U131" s="286"/>
      <c r="V131" s="297"/>
      <c r="W131" s="286"/>
      <c r="X131" s="297"/>
      <c r="Y131" s="286"/>
      <c r="Z131" s="297"/>
      <c r="AA131" s="286"/>
      <c r="AB131" s="297"/>
      <c r="AC131" s="286"/>
      <c r="AD131" s="297"/>
      <c r="AE131" s="286"/>
      <c r="AF131" s="297"/>
      <c r="AG131" s="286"/>
      <c r="AH131" s="297"/>
      <c r="AI131" s="286"/>
      <c r="AJ131" s="298"/>
      <c r="AK131" s="298"/>
      <c r="AL131" s="149"/>
    </row>
    <row r="132" spans="1:38" ht="15.75" customHeight="1">
      <c r="A132" s="359">
        <v>400010102</v>
      </c>
      <c r="B132" s="521"/>
      <c r="C132" s="446" t="s">
        <v>1316</v>
      </c>
      <c r="D132" s="273"/>
      <c r="E132" s="293"/>
      <c r="F132" s="303" t="s">
        <v>102</v>
      </c>
      <c r="G132" s="303"/>
      <c r="H132" s="301" t="s">
        <v>1317</v>
      </c>
      <c r="I132" s="421" t="s">
        <v>1318</v>
      </c>
      <c r="J132" s="295"/>
      <c r="K132" s="296"/>
      <c r="L132" s="297"/>
      <c r="M132" s="286"/>
      <c r="N132" s="297"/>
      <c r="O132" s="286"/>
      <c r="P132" s="297"/>
      <c r="Q132" s="286"/>
      <c r="R132" s="297"/>
      <c r="S132" s="286"/>
      <c r="T132" s="297"/>
      <c r="U132" s="286"/>
      <c r="V132" s="297"/>
      <c r="W132" s="286"/>
      <c r="X132" s="297"/>
      <c r="Y132" s="286"/>
      <c r="Z132" s="297"/>
      <c r="AA132" s="286"/>
      <c r="AB132" s="297"/>
      <c r="AC132" s="286"/>
      <c r="AD132" s="297"/>
      <c r="AE132" s="286"/>
      <c r="AF132" s="297"/>
      <c r="AG132" s="286"/>
      <c r="AH132" s="297"/>
      <c r="AI132" s="286"/>
      <c r="AJ132" s="298"/>
      <c r="AK132" s="298"/>
      <c r="AL132" s="149"/>
    </row>
    <row r="133" spans="1:38" ht="15.75" customHeight="1">
      <c r="A133" s="518">
        <v>400010103</v>
      </c>
      <c r="B133" s="516" t="s">
        <v>1319</v>
      </c>
      <c r="C133" s="446" t="s">
        <v>1320</v>
      </c>
      <c r="D133" s="273"/>
      <c r="E133" s="293"/>
      <c r="F133" s="303" t="s">
        <v>41</v>
      </c>
      <c r="G133" s="303" t="s">
        <v>1090</v>
      </c>
      <c r="H133" s="301" t="s">
        <v>1292</v>
      </c>
      <c r="I133" s="403" t="s">
        <v>1321</v>
      </c>
      <c r="J133" s="295">
        <v>12320</v>
      </c>
      <c r="K133" s="296"/>
      <c r="L133" s="297"/>
      <c r="M133" s="286"/>
      <c r="N133" s="297"/>
      <c r="O133" s="286"/>
      <c r="P133" s="297">
        <v>12320</v>
      </c>
      <c r="Q133" s="286">
        <v>12320</v>
      </c>
      <c r="R133" s="297"/>
      <c r="S133" s="286"/>
      <c r="T133" s="297"/>
      <c r="U133" s="286"/>
      <c r="V133" s="297"/>
      <c r="W133" s="286"/>
      <c r="X133" s="297"/>
      <c r="Y133" s="286"/>
      <c r="Z133" s="297"/>
      <c r="AA133" s="286"/>
      <c r="AB133" s="297"/>
      <c r="AC133" s="286"/>
      <c r="AD133" s="297"/>
      <c r="AE133" s="286"/>
      <c r="AF133" s="297"/>
      <c r="AG133" s="286"/>
      <c r="AH133" s="297"/>
      <c r="AI133" s="286"/>
      <c r="AJ133" s="298"/>
      <c r="AK133" s="298"/>
      <c r="AL133" s="149"/>
    </row>
    <row r="134" spans="1:38" ht="15.75" customHeight="1">
      <c r="A134" s="519"/>
      <c r="B134" s="517"/>
      <c r="C134" s="446" t="s">
        <v>1322</v>
      </c>
      <c r="D134" s="273"/>
      <c r="E134" s="293"/>
      <c r="F134" s="303"/>
      <c r="G134" s="303"/>
      <c r="H134" s="301"/>
      <c r="I134" s="403" t="s">
        <v>1073</v>
      </c>
      <c r="J134" s="295">
        <v>2500</v>
      </c>
      <c r="K134" s="296"/>
      <c r="L134" s="297"/>
      <c r="M134" s="286"/>
      <c r="N134" s="297"/>
      <c r="O134" s="286"/>
      <c r="P134" s="297">
        <v>2500</v>
      </c>
      <c r="Q134" s="286">
        <v>2500</v>
      </c>
      <c r="R134" s="297"/>
      <c r="S134" s="286"/>
      <c r="T134" s="297"/>
      <c r="U134" s="286"/>
      <c r="V134" s="297"/>
      <c r="W134" s="286"/>
      <c r="X134" s="297"/>
      <c r="Y134" s="286"/>
      <c r="Z134" s="297"/>
      <c r="AA134" s="286"/>
      <c r="AB134" s="297"/>
      <c r="AC134" s="286"/>
      <c r="AD134" s="297"/>
      <c r="AE134" s="286"/>
      <c r="AF134" s="297"/>
      <c r="AG134" s="286"/>
      <c r="AH134" s="297"/>
      <c r="AI134" s="286"/>
      <c r="AJ134" s="298"/>
      <c r="AK134" s="298"/>
      <c r="AL134" s="149"/>
    </row>
    <row r="135" spans="1:38" ht="15.75" customHeight="1">
      <c r="A135" s="359">
        <v>400010104</v>
      </c>
      <c r="B135" s="388" t="s">
        <v>1323</v>
      </c>
      <c r="C135" s="446" t="s">
        <v>1323</v>
      </c>
      <c r="D135" s="273"/>
      <c r="E135" s="293"/>
      <c r="F135" s="303"/>
      <c r="G135" s="303" t="s">
        <v>1090</v>
      </c>
      <c r="H135" s="301" t="s">
        <v>1151</v>
      </c>
      <c r="I135" s="403" t="s">
        <v>1152</v>
      </c>
      <c r="J135" s="295">
        <v>5600</v>
      </c>
      <c r="K135" s="296"/>
      <c r="L135" s="297"/>
      <c r="M135" s="286"/>
      <c r="N135" s="297"/>
      <c r="O135" s="286"/>
      <c r="P135" s="297"/>
      <c r="Q135" s="286"/>
      <c r="R135" s="297"/>
      <c r="S135" s="286"/>
      <c r="T135" s="297"/>
      <c r="U135" s="286"/>
      <c r="V135" s="297"/>
      <c r="W135" s="286"/>
      <c r="X135" s="297"/>
      <c r="Y135" s="286"/>
      <c r="Z135" s="297"/>
      <c r="AA135" s="286"/>
      <c r="AB135" s="297"/>
      <c r="AC135" s="286"/>
      <c r="AD135" s="297"/>
      <c r="AE135" s="286"/>
      <c r="AF135" s="297"/>
      <c r="AG135" s="286"/>
      <c r="AH135" s="297"/>
      <c r="AI135" s="286"/>
      <c r="AJ135" s="298"/>
      <c r="AK135" s="298"/>
      <c r="AL135" s="149"/>
    </row>
    <row r="136" spans="1:38" ht="15.75" customHeight="1">
      <c r="A136" s="359">
        <v>400010105</v>
      </c>
      <c r="B136" s="388" t="s">
        <v>144</v>
      </c>
      <c r="C136" s="446" t="s">
        <v>1324</v>
      </c>
      <c r="D136" s="273"/>
      <c r="E136" s="293"/>
      <c r="F136" s="303" t="s">
        <v>1325</v>
      </c>
      <c r="G136" s="303" t="s">
        <v>1181</v>
      </c>
      <c r="H136" s="301" t="s">
        <v>1326</v>
      </c>
      <c r="I136" s="403" t="s">
        <v>1327</v>
      </c>
      <c r="J136" s="295"/>
      <c r="K136" s="296"/>
      <c r="L136" s="297"/>
      <c r="M136" s="286"/>
      <c r="N136" s="297"/>
      <c r="O136" s="286"/>
      <c r="P136" s="297"/>
      <c r="Q136" s="286"/>
      <c r="R136" s="297"/>
      <c r="S136" s="286"/>
      <c r="T136" s="297"/>
      <c r="U136" s="286"/>
      <c r="V136" s="297"/>
      <c r="W136" s="286"/>
      <c r="X136" s="297"/>
      <c r="Y136" s="286"/>
      <c r="Z136" s="297"/>
      <c r="AA136" s="286"/>
      <c r="AB136" s="297"/>
      <c r="AC136" s="286"/>
      <c r="AD136" s="297"/>
      <c r="AE136" s="286"/>
      <c r="AF136" s="297"/>
      <c r="AG136" s="286"/>
      <c r="AH136" s="297"/>
      <c r="AI136" s="286"/>
      <c r="AJ136" s="298"/>
      <c r="AK136" s="298"/>
      <c r="AL136" s="149"/>
    </row>
    <row r="137" spans="1:38" ht="15.75" customHeight="1">
      <c r="A137" s="359">
        <v>400010106</v>
      </c>
      <c r="B137" s="388"/>
      <c r="C137" s="446"/>
      <c r="D137" s="273"/>
      <c r="E137" s="293"/>
      <c r="F137" s="303"/>
      <c r="G137" s="303"/>
      <c r="H137" s="301"/>
      <c r="I137" s="403"/>
      <c r="J137" s="295"/>
      <c r="K137" s="296"/>
      <c r="L137" s="297"/>
      <c r="M137" s="286"/>
      <c r="N137" s="297"/>
      <c r="O137" s="286"/>
      <c r="P137" s="297"/>
      <c r="Q137" s="286"/>
      <c r="R137" s="297"/>
      <c r="S137" s="286"/>
      <c r="T137" s="297"/>
      <c r="U137" s="286"/>
      <c r="V137" s="297"/>
      <c r="W137" s="286"/>
      <c r="X137" s="297"/>
      <c r="Y137" s="286"/>
      <c r="Z137" s="297"/>
      <c r="AA137" s="286"/>
      <c r="AB137" s="297"/>
      <c r="AC137" s="286"/>
      <c r="AD137" s="297"/>
      <c r="AE137" s="286"/>
      <c r="AF137" s="297"/>
      <c r="AG137" s="286"/>
      <c r="AH137" s="297"/>
      <c r="AI137" s="286"/>
      <c r="AJ137" s="298"/>
      <c r="AK137" s="298"/>
      <c r="AL137" s="149"/>
    </row>
    <row r="138" spans="1:38" ht="15.75" customHeight="1">
      <c r="A138" s="359">
        <v>400010107</v>
      </c>
      <c r="B138" s="388" t="s">
        <v>144</v>
      </c>
      <c r="C138" s="446" t="s">
        <v>1328</v>
      </c>
      <c r="D138" s="273"/>
      <c r="E138" s="293"/>
      <c r="F138" s="303" t="s">
        <v>1325</v>
      </c>
      <c r="G138" s="303" t="s">
        <v>1181</v>
      </c>
      <c r="H138" s="301" t="s">
        <v>1329</v>
      </c>
      <c r="I138" s="403" t="s">
        <v>1330</v>
      </c>
      <c r="J138" s="295"/>
      <c r="K138" s="296"/>
      <c r="L138" s="297"/>
      <c r="M138" s="286"/>
      <c r="N138" s="297"/>
      <c r="O138" s="286"/>
      <c r="P138" s="297"/>
      <c r="Q138" s="286"/>
      <c r="R138" s="297"/>
      <c r="S138" s="286"/>
      <c r="T138" s="297"/>
      <c r="U138" s="286"/>
      <c r="V138" s="297"/>
      <c r="W138" s="286"/>
      <c r="X138" s="297"/>
      <c r="Y138" s="286"/>
      <c r="Z138" s="297"/>
      <c r="AA138" s="286"/>
      <c r="AB138" s="297"/>
      <c r="AC138" s="286"/>
      <c r="AD138" s="297"/>
      <c r="AE138" s="286"/>
      <c r="AF138" s="297"/>
      <c r="AG138" s="286"/>
      <c r="AH138" s="297"/>
      <c r="AI138" s="286"/>
      <c r="AJ138" s="298"/>
      <c r="AK138" s="298"/>
      <c r="AL138" s="149"/>
    </row>
    <row r="139" spans="1:38" ht="15.75" customHeight="1">
      <c r="A139" s="359">
        <v>400010108</v>
      </c>
      <c r="B139" s="388" t="s">
        <v>144</v>
      </c>
      <c r="C139" s="446" t="s">
        <v>1331</v>
      </c>
      <c r="D139" s="273"/>
      <c r="E139" s="293"/>
      <c r="F139" s="303" t="s">
        <v>1325</v>
      </c>
      <c r="G139" s="303" t="s">
        <v>1181</v>
      </c>
      <c r="H139" s="301" t="s">
        <v>1332</v>
      </c>
      <c r="I139" s="403" t="s">
        <v>1333</v>
      </c>
      <c r="J139" s="295"/>
      <c r="K139" s="296"/>
      <c r="L139" s="297"/>
      <c r="M139" s="286"/>
      <c r="N139" s="297"/>
      <c r="O139" s="286"/>
      <c r="P139" s="297"/>
      <c r="Q139" s="286"/>
      <c r="R139" s="297"/>
      <c r="S139" s="286"/>
      <c r="T139" s="297"/>
      <c r="U139" s="286"/>
      <c r="V139" s="297"/>
      <c r="W139" s="286"/>
      <c r="X139" s="297"/>
      <c r="Y139" s="286"/>
      <c r="Z139" s="297"/>
      <c r="AA139" s="286"/>
      <c r="AB139" s="297"/>
      <c r="AC139" s="286"/>
      <c r="AD139" s="297"/>
      <c r="AE139" s="286"/>
      <c r="AF139" s="297"/>
      <c r="AG139" s="286"/>
      <c r="AH139" s="297"/>
      <c r="AI139" s="286"/>
      <c r="AJ139" s="298"/>
      <c r="AK139" s="298"/>
      <c r="AL139" s="149"/>
    </row>
    <row r="140" spans="1:38" ht="15.75" customHeight="1">
      <c r="A140" s="359">
        <v>400010109</v>
      </c>
      <c r="B140" s="388" t="s">
        <v>144</v>
      </c>
      <c r="C140" s="446" t="s">
        <v>1334</v>
      </c>
      <c r="D140" s="273"/>
      <c r="E140" s="293"/>
      <c r="F140" s="303" t="s">
        <v>1325</v>
      </c>
      <c r="G140" s="303"/>
      <c r="H140" s="301"/>
      <c r="I140" s="421" t="s">
        <v>1195</v>
      </c>
      <c r="J140" s="295"/>
      <c r="K140" s="296"/>
      <c r="L140" s="297"/>
      <c r="M140" s="286"/>
      <c r="N140" s="297"/>
      <c r="O140" s="286"/>
      <c r="P140" s="297"/>
      <c r="Q140" s="286"/>
      <c r="R140" s="297"/>
      <c r="S140" s="286"/>
      <c r="T140" s="297"/>
      <c r="U140" s="286"/>
      <c r="V140" s="297"/>
      <c r="W140" s="286"/>
      <c r="X140" s="297"/>
      <c r="Y140" s="286"/>
      <c r="Z140" s="297"/>
      <c r="AA140" s="286"/>
      <c r="AB140" s="297"/>
      <c r="AC140" s="286"/>
      <c r="AD140" s="297"/>
      <c r="AE140" s="286"/>
      <c r="AF140" s="297"/>
      <c r="AG140" s="286"/>
      <c r="AH140" s="297"/>
      <c r="AI140" s="286"/>
      <c r="AJ140" s="298"/>
      <c r="AK140" s="298"/>
      <c r="AL140" s="149"/>
    </row>
    <row r="141" spans="1:38" ht="15.75" customHeight="1">
      <c r="A141" s="359">
        <v>400010110</v>
      </c>
      <c r="B141" s="388" t="s">
        <v>144</v>
      </c>
      <c r="C141" s="446" t="s">
        <v>1335</v>
      </c>
      <c r="D141" s="273"/>
      <c r="E141" s="293"/>
      <c r="F141" s="303" t="s">
        <v>1336</v>
      </c>
      <c r="G141" s="303" t="s">
        <v>1181</v>
      </c>
      <c r="H141" s="301" t="s">
        <v>1302</v>
      </c>
      <c r="I141" s="403" t="s">
        <v>1337</v>
      </c>
      <c r="J141" s="295"/>
      <c r="K141" s="296"/>
      <c r="L141" s="297"/>
      <c r="M141" s="286"/>
      <c r="N141" s="297"/>
      <c r="O141" s="286"/>
      <c r="P141" s="297"/>
      <c r="Q141" s="286"/>
      <c r="R141" s="297"/>
      <c r="S141" s="286"/>
      <c r="T141" s="297"/>
      <c r="U141" s="286"/>
      <c r="V141" s="297"/>
      <c r="W141" s="286"/>
      <c r="X141" s="297"/>
      <c r="Y141" s="286"/>
      <c r="Z141" s="297"/>
      <c r="AA141" s="286"/>
      <c r="AB141" s="297"/>
      <c r="AC141" s="286"/>
      <c r="AD141" s="297"/>
      <c r="AE141" s="286"/>
      <c r="AF141" s="297"/>
      <c r="AG141" s="286"/>
      <c r="AH141" s="297"/>
      <c r="AI141" s="286"/>
      <c r="AJ141" s="298"/>
      <c r="AK141" s="298"/>
      <c r="AL141" s="149"/>
    </row>
    <row r="142" spans="1:38" ht="15.75" customHeight="1">
      <c r="A142" s="518">
        <v>400010111</v>
      </c>
      <c r="B142" s="520" t="s">
        <v>144</v>
      </c>
      <c r="C142" s="446" t="s">
        <v>1278</v>
      </c>
      <c r="D142" s="273"/>
      <c r="E142" s="293"/>
      <c r="F142" s="303" t="s">
        <v>1336</v>
      </c>
      <c r="G142" s="303" t="s">
        <v>1181</v>
      </c>
      <c r="H142" s="301" t="s">
        <v>1279</v>
      </c>
      <c r="I142" s="403" t="s">
        <v>1280</v>
      </c>
      <c r="J142" s="295"/>
      <c r="K142" s="296"/>
      <c r="L142" s="297"/>
      <c r="M142" s="286"/>
      <c r="N142" s="297"/>
      <c r="O142" s="286"/>
      <c r="P142" s="297"/>
      <c r="Q142" s="286"/>
      <c r="R142" s="297"/>
      <c r="S142" s="286"/>
      <c r="T142" s="297"/>
      <c r="U142" s="286"/>
      <c r="V142" s="297"/>
      <c r="W142" s="286"/>
      <c r="X142" s="297"/>
      <c r="Y142" s="286"/>
      <c r="Z142" s="297"/>
      <c r="AA142" s="286"/>
      <c r="AB142" s="297"/>
      <c r="AC142" s="286"/>
      <c r="AD142" s="297"/>
      <c r="AE142" s="286"/>
      <c r="AF142" s="297"/>
      <c r="AG142" s="286"/>
      <c r="AH142" s="297"/>
      <c r="AI142" s="286"/>
      <c r="AJ142" s="298"/>
      <c r="AK142" s="298"/>
      <c r="AL142" s="149"/>
    </row>
    <row r="143" spans="1:38" ht="15.75" customHeight="1">
      <c r="A143" s="519"/>
      <c r="B143" s="521"/>
      <c r="C143" s="446" t="s">
        <v>1338</v>
      </c>
      <c r="D143" s="273"/>
      <c r="E143" s="293"/>
      <c r="F143" s="303"/>
      <c r="G143" s="303"/>
      <c r="H143" s="301"/>
      <c r="I143" s="403" t="s">
        <v>1073</v>
      </c>
      <c r="J143" s="295">
        <v>9000</v>
      </c>
      <c r="K143" s="296"/>
      <c r="L143" s="297"/>
      <c r="M143" s="286"/>
      <c r="N143" s="297"/>
      <c r="O143" s="286"/>
      <c r="P143" s="297">
        <v>9000</v>
      </c>
      <c r="Q143" s="286">
        <v>9000</v>
      </c>
      <c r="R143" s="297"/>
      <c r="S143" s="286"/>
      <c r="T143" s="297"/>
      <c r="U143" s="286"/>
      <c r="V143" s="297"/>
      <c r="W143" s="286"/>
      <c r="X143" s="297"/>
      <c r="Y143" s="286"/>
      <c r="Z143" s="297"/>
      <c r="AA143" s="286"/>
      <c r="AB143" s="297"/>
      <c r="AC143" s="286"/>
      <c r="AD143" s="297"/>
      <c r="AE143" s="286"/>
      <c r="AF143" s="297"/>
      <c r="AG143" s="286"/>
      <c r="AH143" s="297"/>
      <c r="AI143" s="286"/>
      <c r="AJ143" s="298"/>
      <c r="AK143" s="298"/>
      <c r="AL143" s="149"/>
    </row>
    <row r="144" spans="1:38" ht="15.75" customHeight="1">
      <c r="A144" s="359">
        <v>400010112</v>
      </c>
      <c r="B144" s="388" t="s">
        <v>1339</v>
      </c>
      <c r="C144" s="446" t="s">
        <v>1340</v>
      </c>
      <c r="D144" s="273"/>
      <c r="E144" s="293"/>
      <c r="F144" s="303" t="s">
        <v>102</v>
      </c>
      <c r="G144" s="303" t="s">
        <v>1181</v>
      </c>
      <c r="H144" s="301" t="s">
        <v>1341</v>
      </c>
      <c r="I144" s="403" t="s">
        <v>1342</v>
      </c>
      <c r="J144" s="295"/>
      <c r="K144" s="296"/>
      <c r="L144" s="297"/>
      <c r="M144" s="286"/>
      <c r="N144" s="297"/>
      <c r="O144" s="286"/>
      <c r="P144" s="297"/>
      <c r="Q144" s="286"/>
      <c r="R144" s="297"/>
      <c r="S144" s="286"/>
      <c r="T144" s="297"/>
      <c r="U144" s="286"/>
      <c r="V144" s="297"/>
      <c r="W144" s="286"/>
      <c r="X144" s="297"/>
      <c r="Y144" s="286"/>
      <c r="Z144" s="297"/>
      <c r="AA144" s="286"/>
      <c r="AB144" s="297"/>
      <c r="AC144" s="286"/>
      <c r="AD144" s="297"/>
      <c r="AE144" s="286"/>
      <c r="AF144" s="297"/>
      <c r="AG144" s="286"/>
      <c r="AH144" s="297"/>
      <c r="AI144" s="286"/>
      <c r="AJ144" s="298"/>
      <c r="AK144" s="298"/>
      <c r="AL144" s="149"/>
    </row>
    <row r="145" spans="1:38" ht="15.75" customHeight="1">
      <c r="A145" s="359">
        <v>400010113</v>
      </c>
      <c r="B145" s="388" t="s">
        <v>1343</v>
      </c>
      <c r="C145" s="446" t="s">
        <v>1344</v>
      </c>
      <c r="D145" s="273"/>
      <c r="E145" s="293"/>
      <c r="F145" s="303" t="s">
        <v>1325</v>
      </c>
      <c r="G145" s="303" t="s">
        <v>1181</v>
      </c>
      <c r="H145" s="301" t="s">
        <v>1305</v>
      </c>
      <c r="I145" s="403" t="s">
        <v>1306</v>
      </c>
      <c r="J145" s="295"/>
      <c r="K145" s="296"/>
      <c r="L145" s="297"/>
      <c r="M145" s="286"/>
      <c r="N145" s="297"/>
      <c r="O145" s="286"/>
      <c r="P145" s="297"/>
      <c r="Q145" s="286"/>
      <c r="R145" s="297"/>
      <c r="S145" s="286"/>
      <c r="T145" s="297"/>
      <c r="U145" s="286"/>
      <c r="V145" s="297"/>
      <c r="W145" s="286"/>
      <c r="X145" s="297"/>
      <c r="Y145" s="286"/>
      <c r="Z145" s="297"/>
      <c r="AA145" s="286"/>
      <c r="AB145" s="297"/>
      <c r="AC145" s="286"/>
      <c r="AD145" s="297"/>
      <c r="AE145" s="286"/>
      <c r="AF145" s="297"/>
      <c r="AG145" s="286"/>
      <c r="AH145" s="297"/>
      <c r="AI145" s="286"/>
      <c r="AJ145" s="298"/>
      <c r="AK145" s="298"/>
      <c r="AL145" s="149"/>
    </row>
    <row r="146" spans="1:38" ht="15.75" customHeight="1">
      <c r="A146" s="359">
        <v>400010114</v>
      </c>
      <c r="B146" s="388" t="s">
        <v>1345</v>
      </c>
      <c r="C146" s="446" t="s">
        <v>1346</v>
      </c>
      <c r="D146" s="273"/>
      <c r="E146" s="293"/>
      <c r="F146" s="303" t="s">
        <v>1336</v>
      </c>
      <c r="G146" s="303" t="s">
        <v>1181</v>
      </c>
      <c r="H146" s="301" t="s">
        <v>1302</v>
      </c>
      <c r="I146" s="403" t="s">
        <v>1347</v>
      </c>
      <c r="J146" s="295"/>
      <c r="K146" s="296"/>
      <c r="L146" s="297"/>
      <c r="M146" s="286"/>
      <c r="N146" s="297"/>
      <c r="O146" s="286"/>
      <c r="P146" s="297"/>
      <c r="Q146" s="286"/>
      <c r="R146" s="297"/>
      <c r="S146" s="286"/>
      <c r="T146" s="297"/>
      <c r="U146" s="286"/>
      <c r="V146" s="297"/>
      <c r="W146" s="286"/>
      <c r="X146" s="297"/>
      <c r="Y146" s="286"/>
      <c r="Z146" s="297"/>
      <c r="AA146" s="286"/>
      <c r="AB146" s="297"/>
      <c r="AC146" s="286"/>
      <c r="AD146" s="297"/>
      <c r="AE146" s="286"/>
      <c r="AF146" s="297"/>
      <c r="AG146" s="286"/>
      <c r="AH146" s="297"/>
      <c r="AI146" s="286"/>
      <c r="AJ146" s="298"/>
      <c r="AK146" s="298"/>
      <c r="AL146" s="149"/>
    </row>
    <row r="147" spans="1:38" ht="15.75" customHeight="1">
      <c r="A147" s="359">
        <v>400010115</v>
      </c>
      <c r="B147" s="388" t="s">
        <v>1348</v>
      </c>
      <c r="C147" s="446" t="s">
        <v>1349</v>
      </c>
      <c r="D147" s="273"/>
      <c r="E147" s="293"/>
      <c r="F147" s="303" t="s">
        <v>1139</v>
      </c>
      <c r="G147" s="303" t="s">
        <v>1181</v>
      </c>
      <c r="H147" s="301" t="s">
        <v>1350</v>
      </c>
      <c r="I147" s="403" t="s">
        <v>1351</v>
      </c>
      <c r="J147" s="295"/>
      <c r="K147" s="296"/>
      <c r="L147" s="297"/>
      <c r="M147" s="286"/>
      <c r="N147" s="297"/>
      <c r="O147" s="286"/>
      <c r="P147" s="297"/>
      <c r="Q147" s="286"/>
      <c r="R147" s="297"/>
      <c r="S147" s="286"/>
      <c r="T147" s="297"/>
      <c r="U147" s="286"/>
      <c r="V147" s="297"/>
      <c r="W147" s="286"/>
      <c r="X147" s="297"/>
      <c r="Y147" s="286"/>
      <c r="Z147" s="297"/>
      <c r="AA147" s="286"/>
      <c r="AB147" s="297"/>
      <c r="AC147" s="286"/>
      <c r="AD147" s="297"/>
      <c r="AE147" s="286"/>
      <c r="AF147" s="297"/>
      <c r="AG147" s="286"/>
      <c r="AH147" s="297"/>
      <c r="AI147" s="286"/>
      <c r="AJ147" s="298"/>
      <c r="AK147" s="298"/>
      <c r="AL147" s="149"/>
    </row>
    <row r="148" spans="1:38" ht="15.75" customHeight="1">
      <c r="A148" s="359">
        <v>400010116</v>
      </c>
      <c r="B148" s="388" t="s">
        <v>600</v>
      </c>
      <c r="C148" s="446" t="s">
        <v>973</v>
      </c>
      <c r="D148" s="273"/>
      <c r="E148" s="293"/>
      <c r="F148" s="303" t="s">
        <v>1121</v>
      </c>
      <c r="G148" s="303" t="s">
        <v>1181</v>
      </c>
      <c r="H148" s="301" t="s">
        <v>1352</v>
      </c>
      <c r="I148" s="403" t="s">
        <v>1353</v>
      </c>
      <c r="J148" s="295"/>
      <c r="K148" s="296"/>
      <c r="L148" s="297"/>
      <c r="M148" s="286"/>
      <c r="N148" s="297"/>
      <c r="O148" s="286"/>
      <c r="P148" s="297"/>
      <c r="Q148" s="286"/>
      <c r="R148" s="297"/>
      <c r="S148" s="286"/>
      <c r="T148" s="297"/>
      <c r="U148" s="286"/>
      <c r="V148" s="297"/>
      <c r="W148" s="286"/>
      <c r="X148" s="297"/>
      <c r="Y148" s="286"/>
      <c r="Z148" s="297"/>
      <c r="AA148" s="286"/>
      <c r="AB148" s="297"/>
      <c r="AC148" s="286"/>
      <c r="AD148" s="297"/>
      <c r="AE148" s="286"/>
      <c r="AF148" s="297"/>
      <c r="AG148" s="286"/>
      <c r="AH148" s="297"/>
      <c r="AI148" s="286"/>
      <c r="AJ148" s="298"/>
      <c r="AK148" s="298"/>
      <c r="AL148" s="149"/>
    </row>
    <row r="149" spans="1:38" ht="15.75" customHeight="1">
      <c r="A149" s="359">
        <v>400010117</v>
      </c>
      <c r="B149" s="388" t="s">
        <v>1343</v>
      </c>
      <c r="C149" s="446" t="s">
        <v>941</v>
      </c>
      <c r="D149" s="273"/>
      <c r="E149" s="293"/>
      <c r="F149" s="303" t="s">
        <v>1121</v>
      </c>
      <c r="G149" s="303" t="s">
        <v>1181</v>
      </c>
      <c r="H149" s="301" t="s">
        <v>1143</v>
      </c>
      <c r="I149" s="403" t="s">
        <v>1354</v>
      </c>
      <c r="J149" s="295"/>
      <c r="K149" s="296"/>
      <c r="L149" s="297"/>
      <c r="M149" s="286"/>
      <c r="N149" s="297"/>
      <c r="O149" s="286"/>
      <c r="P149" s="297"/>
      <c r="Q149" s="286"/>
      <c r="R149" s="297"/>
      <c r="S149" s="286"/>
      <c r="T149" s="297"/>
      <c r="U149" s="286"/>
      <c r="V149" s="297"/>
      <c r="W149" s="286"/>
      <c r="X149" s="297"/>
      <c r="Y149" s="286"/>
      <c r="Z149" s="297"/>
      <c r="AA149" s="286"/>
      <c r="AB149" s="297"/>
      <c r="AC149" s="286"/>
      <c r="AD149" s="297"/>
      <c r="AE149" s="286"/>
      <c r="AF149" s="297"/>
      <c r="AG149" s="286"/>
      <c r="AH149" s="297"/>
      <c r="AI149" s="286"/>
      <c r="AJ149" s="298"/>
      <c r="AK149" s="298"/>
      <c r="AL149" s="149"/>
    </row>
    <row r="150" spans="1:38" ht="15.75" customHeight="1">
      <c r="A150" s="359">
        <v>400010118</v>
      </c>
      <c r="B150" s="388" t="s">
        <v>1355</v>
      </c>
      <c r="C150" s="446" t="s">
        <v>1355</v>
      </c>
      <c r="D150" s="273"/>
      <c r="E150" s="293"/>
      <c r="F150" s="303" t="s">
        <v>1121</v>
      </c>
      <c r="G150" s="303" t="s">
        <v>1069</v>
      </c>
      <c r="H150" s="301"/>
      <c r="I150" s="403" t="s">
        <v>1063</v>
      </c>
      <c r="J150" s="295">
        <v>1200</v>
      </c>
      <c r="K150" s="296"/>
      <c r="L150" s="297"/>
      <c r="M150" s="286"/>
      <c r="N150" s="297"/>
      <c r="O150" s="286"/>
      <c r="P150" s="297">
        <v>6000</v>
      </c>
      <c r="Q150" s="286">
        <v>6000</v>
      </c>
      <c r="R150" s="297">
        <v>1200</v>
      </c>
      <c r="S150" s="286"/>
      <c r="T150" s="297">
        <v>1200</v>
      </c>
      <c r="U150" s="286"/>
      <c r="V150" s="297">
        <v>1200</v>
      </c>
      <c r="W150" s="286"/>
      <c r="X150" s="297">
        <v>1200</v>
      </c>
      <c r="Y150" s="286"/>
      <c r="Z150" s="297">
        <v>1200</v>
      </c>
      <c r="AA150" s="286"/>
      <c r="AB150" s="297">
        <v>1200</v>
      </c>
      <c r="AC150" s="286"/>
      <c r="AD150" s="297">
        <v>1200</v>
      </c>
      <c r="AE150" s="286"/>
      <c r="AF150" s="297">
        <v>1200</v>
      </c>
      <c r="AG150" s="286"/>
      <c r="AH150" s="297">
        <v>1200</v>
      </c>
      <c r="AI150" s="286"/>
      <c r="AJ150" s="298"/>
      <c r="AK150" s="298"/>
      <c r="AL150" s="149"/>
    </row>
    <row r="151" spans="1:38" ht="15.75" customHeight="1">
      <c r="A151" s="359">
        <v>400010119</v>
      </c>
      <c r="B151" s="388" t="s">
        <v>600</v>
      </c>
      <c r="C151" s="446" t="s">
        <v>1356</v>
      </c>
      <c r="D151" s="273"/>
      <c r="E151" s="293"/>
      <c r="F151" s="303" t="s">
        <v>1121</v>
      </c>
      <c r="G151" s="303" t="s">
        <v>1181</v>
      </c>
      <c r="H151" s="301" t="s">
        <v>1357</v>
      </c>
      <c r="I151" s="403" t="s">
        <v>1358</v>
      </c>
      <c r="J151" s="295"/>
      <c r="K151" s="296"/>
      <c r="L151" s="297"/>
      <c r="M151" s="286"/>
      <c r="N151" s="297"/>
      <c r="O151" s="286"/>
      <c r="P151" s="297"/>
      <c r="Q151" s="286"/>
      <c r="R151" s="297"/>
      <c r="S151" s="286"/>
      <c r="T151" s="297"/>
      <c r="U151" s="286"/>
      <c r="V151" s="297"/>
      <c r="W151" s="286"/>
      <c r="X151" s="297"/>
      <c r="Y151" s="286"/>
      <c r="Z151" s="297"/>
      <c r="AA151" s="286"/>
      <c r="AB151" s="297"/>
      <c r="AC151" s="286"/>
      <c r="AD151" s="297"/>
      <c r="AE151" s="286"/>
      <c r="AF151" s="297"/>
      <c r="AG151" s="286"/>
      <c r="AH151" s="297"/>
      <c r="AI151" s="286"/>
      <c r="AJ151" s="298"/>
      <c r="AK151" s="298"/>
      <c r="AL151" s="149"/>
    </row>
    <row r="152" spans="1:38" ht="15.75" customHeight="1">
      <c r="A152" s="359">
        <v>400010120</v>
      </c>
      <c r="B152" s="388" t="s">
        <v>1359</v>
      </c>
      <c r="C152" s="446" t="s">
        <v>1360</v>
      </c>
      <c r="D152" s="273"/>
      <c r="E152" s="293"/>
      <c r="F152" s="303"/>
      <c r="G152" s="303"/>
      <c r="H152" s="301"/>
      <c r="I152" s="403" t="s">
        <v>1073</v>
      </c>
      <c r="J152" s="295"/>
      <c r="K152" s="296"/>
      <c r="L152" s="297"/>
      <c r="M152" s="286"/>
      <c r="N152" s="297">
        <v>37832</v>
      </c>
      <c r="O152" s="286">
        <v>37832</v>
      </c>
      <c r="P152" s="297"/>
      <c r="Q152" s="286"/>
      <c r="R152" s="297"/>
      <c r="S152" s="286"/>
      <c r="T152" s="297"/>
      <c r="U152" s="286"/>
      <c r="V152" s="297"/>
      <c r="W152" s="286"/>
      <c r="X152" s="297"/>
      <c r="Y152" s="286"/>
      <c r="Z152" s="297"/>
      <c r="AA152" s="286"/>
      <c r="AB152" s="297"/>
      <c r="AC152" s="286"/>
      <c r="AD152" s="297"/>
      <c r="AE152" s="286"/>
      <c r="AF152" s="297"/>
      <c r="AG152" s="286"/>
      <c r="AH152" s="297"/>
      <c r="AI152" s="286"/>
      <c r="AJ152" s="298"/>
      <c r="AK152" s="298"/>
      <c r="AL152" s="149"/>
    </row>
    <row r="153" spans="1:38" ht="15.75" customHeight="1">
      <c r="A153" s="359">
        <v>400010121</v>
      </c>
      <c r="B153" s="388" t="s">
        <v>1361</v>
      </c>
      <c r="C153" s="446" t="s">
        <v>1360</v>
      </c>
      <c r="D153" s="273"/>
      <c r="E153" s="293"/>
      <c r="F153" s="303"/>
      <c r="G153" s="303"/>
      <c r="H153" s="301"/>
      <c r="I153" s="403" t="s">
        <v>1073</v>
      </c>
      <c r="J153" s="295"/>
      <c r="K153" s="296"/>
      <c r="L153" s="297"/>
      <c r="M153" s="286"/>
      <c r="N153" s="297">
        <v>37832</v>
      </c>
      <c r="O153" s="286">
        <v>37832</v>
      </c>
      <c r="P153" s="297"/>
      <c r="Q153" s="286"/>
      <c r="R153" s="297"/>
      <c r="S153" s="286"/>
      <c r="T153" s="297"/>
      <c r="U153" s="286"/>
      <c r="V153" s="297"/>
      <c r="W153" s="286"/>
      <c r="X153" s="297"/>
      <c r="Y153" s="286"/>
      <c r="Z153" s="297"/>
      <c r="AA153" s="286"/>
      <c r="AB153" s="297"/>
      <c r="AC153" s="286"/>
      <c r="AD153" s="297"/>
      <c r="AE153" s="286"/>
      <c r="AF153" s="297"/>
      <c r="AG153" s="286"/>
      <c r="AH153" s="297"/>
      <c r="AI153" s="286"/>
      <c r="AJ153" s="298"/>
      <c r="AK153" s="298"/>
      <c r="AL153" s="149"/>
    </row>
    <row r="154" spans="1:38" ht="15.75" customHeight="1">
      <c r="A154" s="359">
        <v>400010122</v>
      </c>
      <c r="B154" s="388" t="s">
        <v>1362</v>
      </c>
      <c r="C154" s="446"/>
      <c r="D154" s="273"/>
      <c r="E154" s="293"/>
      <c r="F154" s="293"/>
      <c r="G154" s="293"/>
      <c r="H154" s="294"/>
      <c r="I154" s="294"/>
      <c r="J154" s="295"/>
      <c r="K154" s="296"/>
      <c r="L154" s="297"/>
      <c r="M154" s="286"/>
      <c r="N154" s="297"/>
      <c r="O154" s="286"/>
      <c r="P154" s="297"/>
      <c r="Q154" s="286"/>
      <c r="R154" s="297"/>
      <c r="S154" s="286"/>
      <c r="T154" s="297"/>
      <c r="U154" s="286"/>
      <c r="V154" s="297"/>
      <c r="W154" s="286"/>
      <c r="X154" s="297"/>
      <c r="Y154" s="286"/>
      <c r="Z154" s="297"/>
      <c r="AA154" s="286"/>
      <c r="AB154" s="297"/>
      <c r="AC154" s="286"/>
      <c r="AD154" s="297"/>
      <c r="AE154" s="286"/>
      <c r="AF154" s="297"/>
      <c r="AG154" s="286"/>
      <c r="AH154" s="297"/>
      <c r="AI154" s="286"/>
      <c r="AJ154" s="298"/>
      <c r="AK154" s="298"/>
      <c r="AL154" s="149"/>
    </row>
    <row r="155" spans="1:38" ht="15.75" customHeight="1">
      <c r="A155" s="359"/>
      <c r="B155" s="108" t="s">
        <v>280</v>
      </c>
      <c r="C155" s="5"/>
      <c r="D155" s="273"/>
      <c r="E155" s="108"/>
      <c r="F155" s="108"/>
      <c r="G155" s="108"/>
      <c r="H155" s="109"/>
      <c r="I155" s="109"/>
      <c r="J155" s="283">
        <f t="shared" ref="J155:K155" si="67">SUM(J8:J154)</f>
        <v>992645.54</v>
      </c>
      <c r="K155" s="284">
        <f t="shared" si="67"/>
        <v>148934</v>
      </c>
      <c r="L155" s="283">
        <f>SUM(L8:L154)</f>
        <v>127357.54000000001</v>
      </c>
      <c r="M155" s="285">
        <f t="shared" ref="M155:AK155" si="68">SUM(M8:M154)</f>
        <v>102860</v>
      </c>
      <c r="N155" s="283">
        <f t="shared" si="68"/>
        <v>200613</v>
      </c>
      <c r="O155" s="286">
        <f t="shared" si="68"/>
        <v>173764</v>
      </c>
      <c r="P155" s="283">
        <f t="shared" si="68"/>
        <v>64719</v>
      </c>
      <c r="Q155" s="286">
        <f t="shared" si="68"/>
        <v>52719</v>
      </c>
      <c r="R155" s="283">
        <f t="shared" si="68"/>
        <v>147920</v>
      </c>
      <c r="S155" s="286">
        <f t="shared" si="68"/>
        <v>0</v>
      </c>
      <c r="T155" s="283">
        <f t="shared" si="68"/>
        <v>28350</v>
      </c>
      <c r="U155" s="286">
        <f t="shared" si="68"/>
        <v>0</v>
      </c>
      <c r="V155" s="283">
        <f t="shared" si="68"/>
        <v>19433</v>
      </c>
      <c r="W155" s="286">
        <f t="shared" si="68"/>
        <v>0</v>
      </c>
      <c r="X155" s="283">
        <f t="shared" si="68"/>
        <v>162684</v>
      </c>
      <c r="Y155" s="286">
        <f t="shared" si="68"/>
        <v>0</v>
      </c>
      <c r="Z155" s="283">
        <f t="shared" si="68"/>
        <v>36330</v>
      </c>
      <c r="AA155" s="286">
        <f t="shared" si="68"/>
        <v>0</v>
      </c>
      <c r="AB155" s="283">
        <f t="shared" si="68"/>
        <v>91199</v>
      </c>
      <c r="AC155" s="286">
        <f t="shared" si="68"/>
        <v>0</v>
      </c>
      <c r="AD155" s="283">
        <f t="shared" si="68"/>
        <v>37490</v>
      </c>
      <c r="AE155" s="286">
        <f t="shared" si="68"/>
        <v>0</v>
      </c>
      <c r="AF155" s="283">
        <f t="shared" si="68"/>
        <v>24600</v>
      </c>
      <c r="AG155" s="286">
        <f t="shared" si="68"/>
        <v>0</v>
      </c>
      <c r="AH155" s="283">
        <f t="shared" si="68"/>
        <v>61849</v>
      </c>
      <c r="AI155" s="286">
        <f t="shared" si="68"/>
        <v>32000</v>
      </c>
      <c r="AJ155" s="283">
        <f t="shared" si="68"/>
        <v>54368.128333333341</v>
      </c>
      <c r="AK155" s="283">
        <f t="shared" si="68"/>
        <v>12411.166666666666</v>
      </c>
    </row>
    <row r="156" spans="1:38" ht="15.75" customHeight="1">
      <c r="A156" s="300"/>
      <c r="B156" s="108" t="s">
        <v>280</v>
      </c>
      <c r="C156" s="449"/>
      <c r="D156" s="172"/>
      <c r="E156" s="288"/>
      <c r="F156" s="288"/>
      <c r="G156" s="288"/>
      <c r="H156" s="288"/>
      <c r="I156" s="288"/>
      <c r="J156" s="289"/>
      <c r="K156" s="290"/>
      <c r="L156" s="289"/>
      <c r="M156" s="291"/>
      <c r="N156" s="289"/>
      <c r="O156" s="292"/>
      <c r="P156" s="289"/>
      <c r="Q156" s="292"/>
      <c r="R156" s="289"/>
      <c r="S156" s="292"/>
      <c r="T156" s="289"/>
      <c r="U156" s="292"/>
      <c r="V156" s="289"/>
      <c r="W156" s="292"/>
      <c r="X156" s="289"/>
      <c r="Y156" s="292"/>
      <c r="Z156" s="289"/>
      <c r="AA156" s="292"/>
      <c r="AB156" s="289"/>
      <c r="AC156" s="292"/>
      <c r="AD156" s="289"/>
      <c r="AE156" s="292"/>
      <c r="AF156" s="289"/>
      <c r="AG156" s="292"/>
      <c r="AH156" s="289"/>
      <c r="AI156" s="292"/>
      <c r="AJ156" s="289"/>
      <c r="AK156" s="289"/>
    </row>
    <row r="157" spans="1:38" ht="15" customHeight="1">
      <c r="A157" s="287"/>
      <c r="C157" s="450"/>
      <c r="D157" s="107"/>
    </row>
    <row r="158" spans="1:38" ht="15" customHeight="1">
      <c r="A158" s="108"/>
      <c r="D158" s="108"/>
    </row>
  </sheetData>
  <mergeCells count="57">
    <mergeCell ref="B133:B134"/>
    <mergeCell ref="A133:A134"/>
    <mergeCell ref="A142:A143"/>
    <mergeCell ref="B142:B143"/>
    <mergeCell ref="B130:B132"/>
    <mergeCell ref="B95:B96"/>
    <mergeCell ref="B91:B92"/>
    <mergeCell ref="B110:B113"/>
    <mergeCell ref="B114:B116"/>
    <mergeCell ref="B6:AH6"/>
    <mergeCell ref="AH7:AI7"/>
    <mergeCell ref="L7:M7"/>
    <mergeCell ref="N7:O7"/>
    <mergeCell ref="P7:Q7"/>
    <mergeCell ref="R7:S7"/>
    <mergeCell ref="T7:U7"/>
    <mergeCell ref="V7:W7"/>
    <mergeCell ref="X7:Y7"/>
    <mergeCell ref="Z7:AA7"/>
    <mergeCell ref="AB7:AC7"/>
    <mergeCell ref="AD7:AE7"/>
    <mergeCell ref="AF7:AG7"/>
    <mergeCell ref="B1:AH1"/>
    <mergeCell ref="B2:AH2"/>
    <mergeCell ref="N4:O4"/>
    <mergeCell ref="P4:Q4"/>
    <mergeCell ref="R4:S4"/>
    <mergeCell ref="T4:U4"/>
    <mergeCell ref="L4:M4"/>
    <mergeCell ref="V4:W4"/>
    <mergeCell ref="X4:Y4"/>
    <mergeCell ref="Z4:AA4"/>
    <mergeCell ref="AB4:AC4"/>
    <mergeCell ref="AD4:AE4"/>
    <mergeCell ref="AF4:AG4"/>
    <mergeCell ref="AH4:AI4"/>
    <mergeCell ref="C91:C92"/>
    <mergeCell ref="A60:A61"/>
    <mergeCell ref="A77:A79"/>
    <mergeCell ref="C65:C66"/>
    <mergeCell ref="B65:B66"/>
    <mergeCell ref="B60:B61"/>
    <mergeCell ref="B67:B70"/>
    <mergeCell ref="B77:B81"/>
    <mergeCell ref="B87:B88"/>
    <mergeCell ref="A8:A10"/>
    <mergeCell ref="C60:C61"/>
    <mergeCell ref="A32:A35"/>
    <mergeCell ref="C32:C33"/>
    <mergeCell ref="B32:B36"/>
    <mergeCell ref="C34:C36"/>
    <mergeCell ref="B39:B42"/>
    <mergeCell ref="B47:B54"/>
    <mergeCell ref="B8:B10"/>
    <mergeCell ref="B11:B13"/>
    <mergeCell ref="B15:B16"/>
    <mergeCell ref="B27:B28"/>
  </mergeCells>
  <phoneticPr fontId="33" type="noConversion"/>
  <hyperlinks>
    <hyperlink ref="D24" r:id="rId1" xr:uid="{5F867586-CE18-4167-90CA-51384A0272B8}"/>
    <hyperlink ref="D26" r:id="rId2" xr:uid="{4E001408-D1EB-416C-ACC8-59215D12D3DA}"/>
    <hyperlink ref="D31" r:id="rId3" xr:uid="{B77E5021-CC38-42F5-9FAE-0B5E8C253151}"/>
    <hyperlink ref="D8" r:id="rId4" xr:uid="{0BACD360-05A7-4416-9A66-3AD5F8469FCB}"/>
    <hyperlink ref="D14" r:id="rId5" xr:uid="{25F78AFA-C214-4C5A-B577-4BF70C06506D}"/>
    <hyperlink ref="D19" r:id="rId6" xr:uid="{124BB919-8F03-4E32-BA1C-24A4E4887A69}"/>
    <hyperlink ref="D21" r:id="rId7" xr:uid="{FFB2AADB-B3A1-4808-ACE3-AFB5AF9AA1A1}"/>
    <hyperlink ref="D17" r:id="rId8" xr:uid="{88436801-2169-499B-8F6E-22F4C4570FBA}"/>
    <hyperlink ref="D30" r:id="rId9" xr:uid="{A0043D59-4795-40D6-B2BA-8E392E48FC3A}"/>
    <hyperlink ref="D11" r:id="rId10" xr:uid="{275BF160-B7A1-4B86-9097-CE254FF50F26}"/>
    <hyperlink ref="D18" r:id="rId11" xr:uid="{B8A0C196-FB73-4103-83C2-D264E1D28675}"/>
    <hyperlink ref="D76" r:id="rId12" xr:uid="{C67D03C3-6512-41F0-BAD5-20B957ABD2F6}"/>
    <hyperlink ref="D27" r:id="rId13" xr:uid="{1B9CD507-EDDF-4916-B757-98645B093DFE}"/>
    <hyperlink ref="D20" r:id="rId14" xr:uid="{DF66FCED-6D3F-4EF9-8654-69D339AD1689}"/>
    <hyperlink ref="D23" r:id="rId15" xr:uid="{55597514-32AC-4E35-91BD-BFE7E476BC9D}"/>
    <hyperlink ref="D29" r:id="rId16" xr:uid="{FA64FFBD-F22D-46C2-9099-3D860DD245D5}"/>
    <hyperlink ref="D39" r:id="rId17" xr:uid="{00E798F4-3372-4391-ADCF-09A9D71E68F2}"/>
    <hyperlink ref="D110" r:id="rId18" xr:uid="{EC7C239D-2DD7-4671-9489-4473B23D95CC}"/>
    <hyperlink ref="D117" r:id="rId19" display="mailto:mnt.hatnufa@gmail.com" xr:uid="{9E379846-3BBF-48A6-8C7E-FB40B20E8B7F}"/>
    <hyperlink ref="D22" r:id="rId20" xr:uid="{C8944074-DF5F-475F-A372-38FCB5E77109}"/>
  </hyperlinks>
  <pageMargins left="0.7" right="0.7" top="0.75" bottom="0.75" header="0" footer="0"/>
  <pageSetup orientation="portrait" r:id="rId21"/>
  <legacyDrawing r:id="rId2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Matan</dc:creator>
  <cp:keywords/>
  <dc:description/>
  <cp:lastModifiedBy>Yuli Kaganovich</cp:lastModifiedBy>
  <cp:revision/>
  <dcterms:created xsi:type="dcterms:W3CDTF">2002-05-04T21:34:35Z</dcterms:created>
  <dcterms:modified xsi:type="dcterms:W3CDTF">2026-04-13T11:01:42Z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TC010459651037</vt:lpwstr>
  </property>
</Properties>
</file>